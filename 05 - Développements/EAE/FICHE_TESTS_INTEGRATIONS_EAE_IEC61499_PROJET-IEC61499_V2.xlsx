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vtoursfr.sharepoint.com/sites/Projet-UniversalAutomation-IEC61499/Documents partages/General/05 - Développements/EAE/"/>
    </mc:Choice>
  </mc:AlternateContent>
  <xr:revisionPtr revIDLastSave="6" documentId="13_ncr:1_{0AC6AA9F-B8CF-214E-8CE3-71424CCE30CE}" xr6:coauthVersionLast="47" xr6:coauthVersionMax="47" xr10:uidLastSave="{37AA89CF-643C-E04A-9246-97FB497AE971}"/>
  <bookViews>
    <workbookView xWindow="0" yWindow="600" windowWidth="28800" windowHeight="16220" xr2:uid="{00000000-000D-0000-FFFF-FFFF00000000}"/>
  </bookViews>
  <sheets>
    <sheet name="Synthèse" sheetId="1" r:id="rId1"/>
    <sheet name="Chaîne_Initialisation" sheetId="2" r:id="rId2"/>
    <sheet name="Chaîne_Cyclique" sheetId="3" r:id="rId3"/>
    <sheet name="Chaîne_Événementielle" sheetId="4" r:id="rId4"/>
    <sheet name="Sécurité_AU_Stop_Reset" sheetId="5" r:id="rId5"/>
    <sheet name="Scénarios_Fonctionnels" sheetId="6" r:id="rId6"/>
    <sheet name="Performance_Tim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<sst xmlns="http://schemas.openxmlformats.org/spreadsheetml/2006/main" count="555" uniqueCount="356">
  <si>
    <t>TESTS D'INTÉGRATION - PROGRAMME EAE IEC 61499</t>
  </si>
  <si>
    <t>Usine de Tri de Pièces - EcoStruxure Automation Expert</t>
  </si>
  <si>
    <t>Projet</t>
  </si>
  <si>
    <t>PRI IEC61499 - Universal Automation</t>
  </si>
  <si>
    <t>Version</t>
  </si>
  <si>
    <t>1.0</t>
  </si>
  <si>
    <t>Date</t>
  </si>
  <si>
    <t>21/01/2026</t>
  </si>
  <si>
    <t>Chef de projet</t>
  </si>
  <si>
    <t>Damien LORIGEON</t>
  </si>
  <si>
    <t>RÉCAPITULATIF DES TESTS D'INTÉGRATION</t>
  </si>
  <si>
    <t>Catégorie</t>
  </si>
  <si>
    <t>Nb Tests</t>
  </si>
  <si>
    <t>Passés</t>
  </si>
  <si>
    <t>Échoués</t>
  </si>
  <si>
    <t>Non testés</t>
  </si>
  <si>
    <t>Chaîne d'initialisation</t>
  </si>
  <si>
    <t>Chaîne cyclique REQ/CNF</t>
  </si>
  <si>
    <t>Chaîne événementielle</t>
  </si>
  <si>
    <t>Sécurité (AU/Stop/Reset)</t>
  </si>
  <si>
    <t>Scénarios fonctionnels</t>
  </si>
  <si>
    <t>Performance &amp; Timing</t>
  </si>
  <si>
    <t>TOTAL</t>
  </si>
  <si>
    <t>TESTS D'INTÉGRATION - Chaîne d'Initialisation</t>
  </si>
  <si>
    <t>ID</t>
  </si>
  <si>
    <t>Nom du test</t>
  </si>
  <si>
    <t>Objectif</t>
  </si>
  <si>
    <t>Composants impliqués</t>
  </si>
  <si>
    <t>Contexte / Pré-requis</t>
  </si>
  <si>
    <t>Procédure de test</t>
  </si>
  <si>
    <t>Entrées / Actions</t>
  </si>
  <si>
    <t>Résultats attendus</t>
  </si>
  <si>
    <t>Critères de réussite</t>
  </si>
  <si>
    <t>Résultat</t>
  </si>
  <si>
    <t>Statut</t>
  </si>
  <si>
    <t>Remarques</t>
  </si>
  <si>
    <t>TI-INI-01</t>
  </si>
  <si>
    <t>Initialisation complète au démarrage COLD</t>
  </si>
  <si>
    <t>Vérifier que tous les composants s'initialisent correctement au démarrage à froid</t>
  </si>
  <si>
    <t>FB1 (DPAC_FULLINIT)
EntryConv
Vision
TriManager
ExitConv
Sorter1/2/3</t>
  </si>
  <si>
    <t>1. Projet EAE compilé et déployé
2. Soft dPAC arrêté
3. Factory I/O prêt</t>
  </si>
  <si>
    <t>1. Démarrer le Soft dPAC en mode COLD
2. Observer la chaîne d'initialisation via Event Trace
3. Vérifier l'état final de chaque composant
4. Vérifier les sorties Modbus</t>
  </si>
  <si>
    <t>Démarrage COLD du runtime</t>
  </si>
  <si>
    <t>Chaîne complète:
FB1.INITO → EntryConv.INIT → EntryConv.INITO → Vision.INIT → Vision.INITO → TriManager.INIT → TriManager.INITO → ExitConv.INIT → ExitConv.INITO → Sorter1.INIT → ... → Sorter3.INITO</t>
  </si>
  <si>
    <t>- Tous les INITO émis dans l'ordre
- Temps total &lt; 1 seconde
- Tous compteurs à 0
- Tous actionneurs OFF
- Reset_light ON</t>
  </si>
  <si>
    <t>TI-INI-02</t>
  </si>
  <si>
    <t>TI-INI-03</t>
  </si>
  <si>
    <t>Propagation INIT vers tous les niveaux</t>
  </si>
  <si>
    <t>Vérifier que l'INIT se propage dans les composites (Read→Logic→Write)</t>
  </si>
  <si>
    <t>EQUIP_EntryConveyor
(Read, Logic, Write internes)</t>
  </si>
  <si>
    <t>1. Observer l'intérieur d'un composite pendant l'init</t>
  </si>
  <si>
    <t>1. Placer des breakpoints sur les INIT internes
2. Démarrer le runtime
3. Observer la propagation dans EntryConv</t>
  </si>
  <si>
    <t>INIT sur EntryConv</t>
  </si>
  <si>
    <t>Dans EntryConv:
Read.REQ → Read.CNF → Logic.INIT → Logic.INITO → Write.REQ → Write.CNF
Puis INITO externe émis</t>
  </si>
  <si>
    <t>- Chaîne interne respectée
- Pas de saut d'étape
- Ordre déterministe</t>
  </si>
  <si>
    <t>État initial après INIT complet</t>
  </si>
  <si>
    <t>Vérifier l'état du système après initialisation complète</t>
  </si>
  <si>
    <t>Système complet
Factory I/O</t>
  </si>
  <si>
    <t>1. Initialisation terminée
2. Factory I/O connecté</t>
  </si>
  <si>
    <t>1. Vérifier toutes les variables internes
2. Vérifier les sorties Modbus
3. Vérifier l'affichage Factory I/O</t>
  </si>
  <si>
    <t>Système initialisé</t>
  </si>
  <si>
    <t>Variables:
- Tous compteurs = 0
- Sorter_Actif = 0
- Entry/Exit_conveyor = FALSE
Factory I/O:
- Convoyeurs arrêtés
- Voyant Reset allumé
- Lame baissée</t>
  </si>
  <si>
    <t>- Système prêt à démarrer
- Attente Auto + Start
- État cohérent partout</t>
  </si>
  <si>
    <t>TESTS D'INTÉGRATION - Chaîne Cyclique REQ/CNF</t>
  </si>
  <si>
    <t>TI-CYC-01</t>
  </si>
  <si>
    <t>Propagation cyclique REQ/CNF complète</t>
  </si>
  <si>
    <t>Vérifier la chaîne d'exécution cyclique entre tous les composants</t>
  </si>
  <si>
    <t>EntryConv → Vision → TriManager → ExitConv → Sorter1 → Sorter2 → Sorter3</t>
  </si>
  <si>
    <t>1. Système initialisé
2. En mode RUN</t>
  </si>
  <si>
    <t>1. Activer le mode debug avec Event Trace
2. Observer un cycle complet REQ/CNF
3. Mesurer le temps de cycle</t>
  </si>
  <si>
    <t>Cycle normal de fonctionnement</t>
  </si>
  <si>
    <t>EntryConv.CNF → Vision.REQ → Vision.CNF → TriManager.REQ → TriManager.CNF → ExitConv.REQ → ExitConv.CNF → Sorter1.REQ → Sorter1.CNF → Sorter2.REQ → Sorter2.CNF → Sorter3.REQ → Sorter3.CNF</t>
  </si>
  <si>
    <t>- Chaîne complète sans rupture
- Ordre respecté
- Temps de cycle &lt; 200ms</t>
  </si>
  <si>
    <t>TI-CYC-02</t>
  </si>
  <si>
    <t>Synchronisation lecture Modbus</t>
  </si>
  <si>
    <t>Vérifier que les lectures Modbus sont synchronisées avec le cycle</t>
  </si>
  <si>
    <t>EntryConv.Read
Vision.ReadVision
ExitConv.ReadAtExit</t>
  </si>
  <si>
    <t>1. Factory I/O en RUN
2. Cycle actif</t>
  </si>
  <si>
    <t>1. Changer une entrée dans Factory I/O
2. Mesurer le temps de prise en compte
3. Vérifier la cohérence des lectures</t>
  </si>
  <si>
    <t>Changement d'entrée Factory I/O</t>
  </si>
  <si>
    <t>Entrée prise en compte au cycle suivant
Délai max = 1 cycle bus (200ms)</t>
  </si>
  <si>
    <t>- Lecture synchrone
- Pas de lecture partielle
- Cohérence des données</t>
  </si>
  <si>
    <t>TI-CYC-03</t>
  </si>
  <si>
    <t>Synchronisation écriture Modbus</t>
  </si>
  <si>
    <t>Vérifier que les écritures Modbus sont effectuées à chaque cycle</t>
  </si>
  <si>
    <t>EntryConv.Write
ExitConv.WriteAtExit
Sorter1/2/3.Write</t>
  </si>
  <si>
    <t>1. Système en fonctionnement
2. Actionneurs actifs</t>
  </si>
  <si>
    <t>1. Observer les écritures Modbus
2. Vérifier la fréquence d'écriture
3. Mesurer la latence commande→action</t>
  </si>
  <si>
    <t>Commandes actionneurs</t>
  </si>
  <si>
    <t>Écritures effectuées à chaque cycle
Latence commande→action &lt; 400ms</t>
  </si>
  <si>
    <t>- Écriture régulière
- Pas d'écriture manquée
- Actionneurs réactifs</t>
  </si>
  <si>
    <t>TI-CYC-04</t>
  </si>
  <si>
    <t>Continuité du cycle sous charge</t>
  </si>
  <si>
    <t>Vérifier que le cycle continue sans interruption pendant le tri</t>
  </si>
  <si>
    <t>Système complet</t>
  </si>
  <si>
    <t>1. Tri en cours
2. Plusieurs pièces dans le système</t>
  </si>
  <si>
    <t>1. Lancer un tri de 10 pièces
2. Monitorer le cycle REQ/CNF
3. Vérifier l'absence de blocage</t>
  </si>
  <si>
    <t>Tri de 10 pièces consécutives</t>
  </si>
  <si>
    <t>Cycle maintenu pendant tout le tri
Pas de timeout
Pas de cycle manqué</t>
  </si>
  <si>
    <t>- Stabilité du cycle
- Pas de dégradation
- Temps de cycle constant</t>
  </si>
  <si>
    <t>TI-CYC-05</t>
  </si>
  <si>
    <t>Reprise du cycle après AU</t>
  </si>
  <si>
    <t>Vérifier que le cycle reprend normalement après un arrêt d'urgence</t>
  </si>
  <si>
    <t>1. Système en fonctionnement
2. Cycle actif</t>
  </si>
  <si>
    <t>1. Activer AU
2. Vérifier l'arrêt du cycle fonctionnel
3. Reset + redémarrage
4. Vérifier la reprise du cycle</t>
  </si>
  <si>
    <t>AU → Reset → Start</t>
  </si>
  <si>
    <t>Cycle interrompu pendant AU
Cycle reprend après Reset+Start
Même comportement qu'avant AU</t>
  </si>
  <si>
    <t>- Arrêt propre sur AU
- Reprise sans anomalie
- Cycle identique</t>
  </si>
  <si>
    <t>TESTS D'INTÉGRATION - Chaîne Événementielle</t>
  </si>
  <si>
    <t>TI-EVT-01</t>
  </si>
  <si>
    <t>Propagation PIECE_PRESENTE → NEW_COLOR</t>
  </si>
  <si>
    <t>Vérifier la chaîne de détection de pièce</t>
  </si>
  <si>
    <t>EntryConv → Vision → TriManager</t>
  </si>
  <si>
    <t>1. Système en RUNNING
2. Pièce prête à entrer</t>
  </si>
  <si>
    <t>1. Faire entrer une pièce bleue
2. Observer la chaîne d'événements
3. Vérifier l'activation du sorter</t>
  </si>
  <si>
    <t>Pièce bleue sur capteur présence</t>
  </si>
  <si>
    <t>EntryConv.PIECE_PRESENTE émis → Vision.PIECE_PRESENTE reçu → Vision lit couleur → Vision.NEW_COLOR émis via adapter → TriManager.NEW_COLOR reçu → Sorter_Actif = 1</t>
  </si>
  <si>
    <t>TI-EVT-02</t>
  </si>
  <si>
    <t>Communication adapter ICouleur</t>
  </si>
  <si>
    <t>Vérifier la transmission de données via l'adapter Socket-Plug</t>
  </si>
  <si>
    <t>Vision.CouleurOut (Socket)
TriManager.CouleurIn (Plug)</t>
  </si>
  <si>
    <t>1. Vision détecte une pièce
2. Adapter connecté</t>
  </si>
  <si>
    <t>1. Détecter une pièce verte (Vision=5)
2. Vérifier les données transmises via adapter
3. Vérifier la réception côté TriManager</t>
  </si>
  <si>
    <t>Vision_value = 5</t>
  </si>
  <si>
    <t>Socket émet NEW_COLOR avec:
- Couleur = 2 (Vert)
- Changement = TRUE/FALSE
Plug reçoit les mêmes valeurs</t>
  </si>
  <si>
    <t>- Données transmises intactes
- Événement et données synchrones
- Pas de corruption</t>
  </si>
  <si>
    <t>TI-EVT-03</t>
  </si>
  <si>
    <t>Propagation PIECE_SORTIE → Comptage</t>
  </si>
  <si>
    <t>Vérifier la chaîne de sortie de pièce</t>
  </si>
  <si>
    <t>ExitConv → TriManager</t>
  </si>
  <si>
    <t>1. Pièce en cours de tri
2. Pièce arrive au capteur sortie</t>
  </si>
  <si>
    <t>1. Pièce passe devant At_exit
2. Pièce quitte At_exit (front descendant)
3. Vérifier le comptage</t>
  </si>
  <si>
    <t>At_exit: TRUE → FALSE</t>
  </si>
  <si>
    <t>ExitConv.PIECE_SORTIE émis → TriManager.PIECE_SORTIE reçu → Counter_X incrémenté</t>
  </si>
  <si>
    <t>- Front descendant détecté
- Compteur correct incrémenté
- Comptage précis</t>
  </si>
  <si>
    <t>TI-EVT-04</t>
  </si>
  <si>
    <t>Propagation BLOCK → Blocage effectif</t>
  </si>
  <si>
    <t>Vérifier que BLOCK bloque réellement l'entrée</t>
  </si>
  <si>
    <t>TriManager → EntryConv</t>
  </si>
  <si>
    <t>1. Tri en cours (pièce bleue)
2. Nouvelle pièce verte détectée</t>
  </si>
  <si>
    <t>1. Détecter pièce de couleur différente
2. Observer l'émission de BLOCK
3. Vérifier le blocage physique</t>
  </si>
  <si>
    <t>Couleur change (Bleu→Vert)</t>
  </si>
  <si>
    <t>TriManager.BLOCK émis → EntryConv.BLOCK reçu → Entry_conveyor = FALSE → Stop_blade = TRUE → Lame levée dans Factory I/O</t>
  </si>
  <si>
    <t>- Blocage immédiat
- Convoyeur arrêté
- Lame levée visible</t>
  </si>
  <si>
    <t>TI-EVT-05</t>
  </si>
  <si>
    <t>Propagation UNBLOCK → Déblocage effectif</t>
  </si>
  <si>
    <t>Vérifier que UNBLOCK débloque l'entrée après changement de sorter</t>
  </si>
  <si>
    <t>1. Entrée bloquée
2. Pièce précédente sortie
3. Sorter changé</t>
  </si>
  <si>
    <t>1. Attendre sortie pièce (PIECE_SORTIE)
2. Observer le changement de sorter
3. Vérifier l'émission de UNBLOCK
4. Vérifier le déblocage physique</t>
  </si>
  <si>
    <t>PIECE_SORTIE reçu</t>
  </si>
  <si>
    <t>TriManager.UNBLOCK émis → EntryConv.UNBLOCK reçu → Entry_conveyor = TRUE → Stop_blade = FALSE → Lame baissée, convoyeur repart</t>
  </si>
  <si>
    <t>- Déblocage après changement sorter
- Convoyeur redémarre
- Lame baissée</t>
  </si>
  <si>
    <t>TI-EVT-06</t>
  </si>
  <si>
    <t>Propagation AU_OUT vers tous les composants</t>
  </si>
  <si>
    <t>Vérifier que AU_OUT atteint tous les composants concernés</t>
  </si>
  <si>
    <t>EntryConv → TriManager, Sorter1, Sorter2, Sorter3</t>
  </si>
  <si>
    <t>1. Système en fonctionnement
2. AU activé</t>
  </si>
  <si>
    <t>1. Activer AU dans Factory I/O
2. Observer la propagation de AU_OUT
3. Vérifier l'arrêt de tous les composants</t>
  </si>
  <si>
    <t>AU = TRUE</t>
  </si>
  <si>
    <t>EntryConv.AU_OUT émis → Reçu par:
- TriManager.AU
- Sorter1.AU
- Sorter2.AU
- Sorter3.AU
Tous passent en AU_STATE</t>
  </si>
  <si>
    <t>- Propagation simultanée
- Tous composants en sécurité
- Arrêt total immédiat</t>
  </si>
  <si>
    <t>TESTS D'INTÉGRATION - Sécurité AU/Stop/Reset</t>
  </si>
  <si>
    <t>TI-SEC-01</t>
  </si>
  <si>
    <t>Arrêt d'urgence en mode RUNNING</t>
  </si>
  <si>
    <t>Vérifier l'arrêt immédiat sur AU pendant le fonctionnement normal</t>
  </si>
  <si>
    <t>1. Système en RUNNING
2. Convoyeur en marche
3. Pas de pièce en cours</t>
  </si>
  <si>
    <t>1. Appuyer sur AU dans Factory I/O
2. Mesurer le temps d'arrêt
3. Vérifier l'état de tous les actionneurs</t>
  </si>
  <si>
    <t>AU activé pendant RUNNING</t>
  </si>
  <si>
    <t>Temps d'arrêt &lt; 200ms
Entry_conveyor = FALSE
Exit_conveyor = FALSE
Tous Sorters OFF
Reset_light = TRUE
Stop_light = TRUE</t>
  </si>
  <si>
    <t>- Arrêt immédiat
- Tous actionneurs OFF
- Voyants urgence allumés</t>
  </si>
  <si>
    <t>TI-SEC-02</t>
  </si>
  <si>
    <t>Arrêt d'urgence pendant tri</t>
  </si>
  <si>
    <t>Vérifier l'AU pendant qu'une pièce est en cours de tri</t>
  </si>
  <si>
    <t>1. Pièce en cours de tri
2. Sorter actif</t>
  </si>
  <si>
    <t>1. Pendant le tri, activer AU
2. Vérifier l'arrêt du sorter
3. Vérifier la conservation des compteurs</t>
  </si>
  <si>
    <t>AU pendant tri actif</t>
  </si>
  <si>
    <t>Tri interrompu immédiatement
Sorter s'arrête
Compteurs conservés (pièce non comptée)
Attente Reset</t>
  </si>
  <si>
    <t>- Arrêt propre du tri
- Pas de perte de pièce
- État cohérent</t>
  </si>
  <si>
    <t>TI-SEC-03</t>
  </si>
  <si>
    <t>AU bloque le redémarrage</t>
  </si>
  <si>
    <t>Vérifier que Start ne fonctionne pas tant que AU est actif</t>
  </si>
  <si>
    <t>EntryConv</t>
  </si>
  <si>
    <t>1. AU actif
2. Système en AU_STATE</t>
  </si>
  <si>
    <t>1. Avec AU toujours actif, appuyer sur Start
2. Vérifier que le système ne démarre pas</t>
  </si>
  <si>
    <t>Start appuyé avec AU actif</t>
  </si>
  <si>
    <t>Système reste en AU_STATE
Convoyeur ne démarre pas
Start ignoré</t>
  </si>
  <si>
    <t>- Sécurité respectée
- Pas de démarrage possible
- AU prioritaire</t>
  </si>
  <si>
    <t>TI-SEC-04</t>
  </si>
  <si>
    <t>Séquence Reset après AU</t>
  </si>
  <si>
    <t>Vérifier la procédure complète de reset</t>
  </si>
  <si>
    <t>EntryConv → TriManager</t>
  </si>
  <si>
    <t>1. Relâcher AU (AU = FALSE)
2. Appuyer sur Reset
3. Vérifier la remise à zéro
4. Vérifier RESET_OUT propagé</t>
  </si>
  <si>
    <t>AU relâché puis Reset appuyé</t>
  </si>
  <si>
    <t>EntryConv.RESET_OUT émis
TriManager.RESET reçu
Compteurs remis à 0
Reset_light OFF
Système prêt à redémarrer</t>
  </si>
  <si>
    <t>- Reset effectif
- Compteurs à 0
- Système prêt</t>
  </si>
  <si>
    <t>TI-SEC-05</t>
  </si>
  <si>
    <t>Redémarrage après AU-Reset</t>
  </si>
  <si>
    <t>Vérifier le redémarrage complet après la séquence AU-Reset</t>
  </si>
  <si>
    <t>1. Reset effectué
2. Système en état initial</t>
  </si>
  <si>
    <t>1. Vérifier Auto = TRUE
2. Appuyer sur Start
3. Vérifier le démarrage normal</t>
  </si>
  <si>
    <t>Start après Reset</t>
  </si>
  <si>
    <t>Système redémarre normalement
Convoyeur en marche
Prêt à trier</t>
  </si>
  <si>
    <t>- Démarrage normal
- Fonctionnement identique
- Pas d'effet résiduel</t>
  </si>
  <si>
    <t>TI-SEC-06</t>
  </si>
  <si>
    <t>Arrêt par Stop pendant cycle</t>
  </si>
  <si>
    <t>Vérifier l'arrêt contrôlé par le bouton Stop</t>
  </si>
  <si>
    <t>1. Système en RUNNING
2. Convoyeur en marche</t>
  </si>
  <si>
    <t>1. Appuyer sur Stop (NF, donc Stop=FALSE)
2. Vérifier l'arrêt du convoyeur
3. Vérifier que ce n'est pas un AU</t>
  </si>
  <si>
    <t>Stop appuyé (Stop=FALSE)</t>
  </si>
  <si>
    <t>Entry_conveyor = FALSE
Stop_light = TRUE
Pas de Reset_light
Compteurs conservés</t>
  </si>
  <si>
    <t>- Arrêt propre
- Différent de AU
- Reprise possible</t>
  </si>
  <si>
    <t>TI-SEC-07</t>
  </si>
  <si>
    <t>Reprise après Stop</t>
  </si>
  <si>
    <t>Vérifier la reprise après un arrêt par Stop</t>
  </si>
  <si>
    <t>1. Système arrêté par Stop
2. Stop relâché</t>
  </si>
  <si>
    <t>1. Relâcher Stop (Stop=TRUE)
2. Appuyer sur Start
3. Vérifier la reprise</t>
  </si>
  <si>
    <t>Stop relâché puis Start</t>
  </si>
  <si>
    <t>Système redémarre
Compteurs conservés
Reprise du cycle</t>
  </si>
  <si>
    <t>- Reprise sans reset
- Compteurs maintenus
- Continuité du travail</t>
  </si>
  <si>
    <t>TI-SEC-08</t>
  </si>
  <si>
    <t>Reset sans AU préalable</t>
  </si>
  <si>
    <t>Vérifier que Reset est ignoré si pas d'AU</t>
  </si>
  <si>
    <t>1. Système en RUNNING normal
2. Pas d'AU</t>
  </si>
  <si>
    <t>1. Appuyer sur Reset sans AU préalable
2. Vérifier que rien ne change</t>
  </si>
  <si>
    <t>Reset sans AU</t>
  </si>
  <si>
    <t>Reset ignoré
Système continue normalement
Compteurs inchangés</t>
  </si>
  <si>
    <t>- Reset conditionnel
- Pas d'effet indésirable</t>
  </si>
  <si>
    <t>TESTS D'INTÉGRATION - Scénarios Fonctionnels</t>
  </si>
  <si>
    <t>TI-SCN-01</t>
  </si>
  <si>
    <t>Tri d'une pièce bleue</t>
  </si>
  <si>
    <t>Vérifier le cycle complet de tri d'une pièce bleue</t>
  </si>
  <si>
    <t>1. Système démarré (Auto+Start)
2. Aucune pièce dans le système</t>
  </si>
  <si>
    <t>1. Introduire une pièce bleue
2. Observer le cycle complet
3. Vérifier le compteur</t>
  </si>
  <si>
    <t>Pièce bleue (Vision 1-3)</t>
  </si>
  <si>
    <t>1. Détection présence
2. Lecture couleur = Bleu
3. Sorter1 activé
4. Pièce triée vers sortie 1
5. Counter_1 = 1</t>
  </si>
  <si>
    <t>- Cycle complet OK
- Bonne sortie
- Compteur correct</t>
  </si>
  <si>
    <t>TI-SCN-02</t>
  </si>
  <si>
    <t>Tri d'une pièce verte</t>
  </si>
  <si>
    <t>Vérifier le cycle complet de tri d'une pièce verte</t>
  </si>
  <si>
    <t>1. Système démarré
2. Compteurs à 0</t>
  </si>
  <si>
    <t>1. Introduire une pièce verte
2. Observer le tri
3. Vérifier le compteur</t>
  </si>
  <si>
    <t>Pièce verte (Vision 4-6)</t>
  </si>
  <si>
    <t>Sorter2 activé
Pièce vers sortie 2
Counter_2 = 1</t>
  </si>
  <si>
    <t>- Tri correct
- Sortie 2
- Compteur vert</t>
  </si>
  <si>
    <t>TI-SCN-03</t>
  </si>
  <si>
    <t>Tri d'une pièce grise</t>
  </si>
  <si>
    <t>Vérifier le cycle complet de tri d'une pièce grise</t>
  </si>
  <si>
    <t>1. Introduire une pièce grise
2. Observer le tri
3. Vérifier le compteur</t>
  </si>
  <si>
    <t>Pièce grise (Vision 7-9)</t>
  </si>
  <si>
    <t>Sorter3 activé
Pièce vers sortie 3
Counter_3 = 1</t>
  </si>
  <si>
    <t>- Tri correct
- Sortie 3
- Compteur gris</t>
  </si>
  <si>
    <t>TI-SCN-04</t>
  </si>
  <si>
    <t>Pièces consécutives même couleur</t>
  </si>
  <si>
    <t>Vérifier le tri de plusieurs pièces de même couleur sans blocage</t>
  </si>
  <si>
    <t>1. Système démarré
2. 3 pièces bleues prêtes</t>
  </si>
  <si>
    <t>1. Introduire 3 pièces bleues consécutives
2. Vérifier qu'il n'y a pas de blocage
3. Vérifier le compteur final</t>
  </si>
  <si>
    <t>3 pièces bleues consécutives</t>
  </si>
  <si>
    <t>Pas de BLOCK émis
Pièces passent sans arrêt
Counter_1 = 3
Flux continu</t>
  </si>
  <si>
    <t>- Pas de blocage
- Flux optimisé
- Comptage correct</t>
  </si>
  <si>
    <t>TI-SCN-05</t>
  </si>
  <si>
    <t>Changement de couleur Bleu→Vert</t>
  </si>
  <si>
    <t>Vérifier le blocage et changement de sorter</t>
  </si>
  <si>
    <t>1. Système démarré
2. Une pièce bleue triée</t>
  </si>
  <si>
    <t>1. Introduire une pièce verte après la bleue
2. Observer le blocage
3. Observer le changement de sorter</t>
  </si>
  <si>
    <t>Pièce verte après bleue</t>
  </si>
  <si>
    <t>1. BLOCK émis, lame levée
2. Pièce bleue sort, Counter_1++
3. Sorter passe de 1 à 2
4. UNBLOCK émis, lame baissée
5. Pièce verte triée</t>
  </si>
  <si>
    <t>- Blocage effectif
- Changement sorter
- Déblocage correct</t>
  </si>
  <si>
    <t>TI-SCN-06</t>
  </si>
  <si>
    <t>Séquence Bleu-Vert-Bleu</t>
  </si>
  <si>
    <t>Vérifier les changements multiples de couleur</t>
  </si>
  <si>
    <t>1. Introduire Bleu, Vert, Bleu
2. Observer les 2 changements de sorter</t>
  </si>
  <si>
    <t>Bleu → Vert → Bleu</t>
  </si>
  <si>
    <t>Sorter: 1 → 2 → 1
2 blocages/déblocages
Counter_1 = 2, Counter_2 = 1</t>
  </si>
  <si>
    <t>- Changements corrects
- Compteurs exacts
- Pas d'erreur</t>
  </si>
  <si>
    <t>TI-SCN-07</t>
  </si>
  <si>
    <t>Cycle complet 10 pièces mixtes</t>
  </si>
  <si>
    <t>Vérifier un cycle de production complet</t>
  </si>
  <si>
    <t>1. Système démarré
2. 10 pièces préparées (mix couleurs)</t>
  </si>
  <si>
    <t>1. Introduire: 3 Bleu, 2 Vert, 2 Gris, 2 Bleu, 1 Vert
2. Laisser le système trier
3. Vérifier les compteurs</t>
  </si>
  <si>
    <t>10 pièces mixtes</t>
  </si>
  <si>
    <t>Toutes pièces triées correctement
Counter_1 = 5
Counter_2 = 3
Counter_3 = 2
Cnt_total = 10</t>
  </si>
  <si>
    <t>- 100% pièces triées
- Compteurs exacts
- Pas de perte</t>
  </si>
  <si>
    <t>TI-SCN-08</t>
  </si>
  <si>
    <t>Arrêt propre avec pièce en cours</t>
  </si>
  <si>
    <t>Vérifier l'arrêt par Stop avec une pièce dans le système</t>
  </si>
  <si>
    <t>1. Pièce en cours de tri
2. Pas encore sortie</t>
  </si>
  <si>
    <t>1. Appuyer sur Stop pendant le tri
2. Observer le comportement
3. Redémarrer et vérifier</t>
  </si>
  <si>
    <t>Stop pendant tri</t>
  </si>
  <si>
    <t>Tri de la pièce en cours se termine
Puis système s'arrête
Compteur incrémenté
Reprise possible</t>
  </si>
  <si>
    <t>- Fin propre du tri
- Pas de pièce perdue
- Comptage correct</t>
  </si>
  <si>
    <t>TI-SCN-09</t>
  </si>
  <si>
    <t>Démarrage Auto+Start</t>
  </si>
  <si>
    <t>Vérifier la séquence de démarrage complète</t>
  </si>
  <si>
    <t>EntryConv
Factory I/O</t>
  </si>
  <si>
    <t>1. Système initialisé
2. Auto = FALSE</t>
  </si>
  <si>
    <t>1. Vérifier que Start seul ne fonctionne pas
2. Activer Auto
3. Appuyer sur Start
4. Vérifier le démarrage</t>
  </si>
  <si>
    <t>Auto puis Start</t>
  </si>
  <si>
    <t>Start sans Auto → pas d'effet
Auto + Start → démarrage
Convoyeur en marche
Start_light ON</t>
  </si>
  <si>
    <t>- Séquence respectée
- Auto obligatoire
- Démarrage correct</t>
  </si>
  <si>
    <t>TI-SCN-10</t>
  </si>
  <si>
    <t>Compteur total Cnt_total</t>
  </si>
  <si>
    <t>Vérifier le calcul du compteur total</t>
  </si>
  <si>
    <t>TriManager</t>
  </si>
  <si>
    <t>1. Plusieurs pièces triées
2. Compteurs individuels non nuls</t>
  </si>
  <si>
    <t>1. Trier quelques pièces de chaque couleur
2. Vérifier Cnt_total = Counter_1 + Counter_2 + Counter_3</t>
  </si>
  <si>
    <t>Counter_1=3, Counter_2=2, Counter_3=4</t>
  </si>
  <si>
    <t>Cnt_total = 9
Mise à jour à chaque pièce</t>
  </si>
  <si>
    <t>- Calcul correct
- Mise à jour temps réel</t>
  </si>
  <si>
    <t>TESTS D'INTÉGRATION - Performance &amp; Timing</t>
  </si>
  <si>
    <t>TI-PRF-01</t>
  </si>
  <si>
    <t>Temps de cycle global</t>
  </si>
  <si>
    <t>Mesurer le temps de cycle complet du système</t>
  </si>
  <si>
    <t>1. Système en fonctionnement
2. Outil de mesure prêt</t>
  </si>
  <si>
    <t>1. Mesurer le temps entre deux CNF consécutifs du même bloc
2. Répéter 100 fois
3. Calculer moyenne et max</t>
  </si>
  <si>
    <t>Mesure sur 100 cycles</t>
  </si>
  <si>
    <t>Temps moyen &lt; 200ms
Temps max &lt; 250ms
Écart-type &lt; 20ms</t>
  </si>
  <si>
    <t>- Respect du cycle bus
- Stabilité temporelle
- Pas de pic</t>
  </si>
  <si>
    <t>TI-PRF-02</t>
  </si>
  <si>
    <t>Latence détection → action</t>
  </si>
  <si>
    <t>Mesurer le temps entre détection pièce et activation sorter</t>
  </si>
  <si>
    <t>EntryConv → Vision → TriManager → Sorter</t>
  </si>
  <si>
    <t>1. Système en RUNNING
2. Pièce prête</t>
  </si>
  <si>
    <t>1. Horodater la détection (Presence_sensor)
2. Horodater l'activation sorter (Turn=TRUE)
3. Calculer la différence</t>
  </si>
  <si>
    <t>Détection d'une pièce</t>
  </si>
  <si>
    <t>Latence &lt; 100ms
Temps constant</t>
  </si>
  <si>
    <t>- Réactivité OK
- Prédictibilité</t>
  </si>
  <si>
    <t>TI-PRF-03</t>
  </si>
  <si>
    <t>Latence AU → arrêt complet</t>
  </si>
  <si>
    <t>Mesurer le temps d'arrêt sur AU</t>
  </si>
  <si>
    <t>1. Horodater l'activation AU
2. Horodater l'arrêt du dernier actionneur
3. Vérifier le temps</t>
  </si>
  <si>
    <t>Activation AU</t>
  </si>
  <si>
    <t>Temps d'arrêt &lt; 200ms
Tous actionneurs OFF simultanément</t>
  </si>
  <si>
    <t>- Arrêt rapide
- Sécurité garantie</t>
  </si>
  <si>
    <t>TI-PRF-04</t>
  </si>
  <si>
    <t>Débit de pièces même couleur</t>
  </si>
  <si>
    <t>Mesurer le débit maximal sans changement de couleur</t>
  </si>
  <si>
    <t>1. Système démarré
2. Pièces de même couleur</t>
  </si>
  <si>
    <t>1. Introduire des pièces aussi vite que possible
2. Compter les pièces triées par minute
3. Vérifier l'absence de perte</t>
  </si>
  <si>
    <t>Débit &gt; 10 pièces/minute
Pas de perte
Pas de blocage</t>
  </si>
  <si>
    <t>- Débit acceptable
- 0% perte</t>
  </si>
  <si>
    <t>TI-PRF-05</t>
  </si>
  <si>
    <t>Débit avec changements de couleur</t>
  </si>
  <si>
    <t>Mesurer le débit avec changements fréquents</t>
  </si>
  <si>
    <t>1. Système démarré
2. Pièces alternées (Bleu-Vert-Bleu-Vert...)</t>
  </si>
  <si>
    <t>1. Introduire des pièces alternées
2. Compter les pièces triées par minute
3. Vérifier la cohérence</t>
  </si>
  <si>
    <t>Pièces alternées</t>
  </si>
  <si>
    <t>Débit &gt; 5 pièces/minute
Compteurs cohérents
Pas de perte</t>
  </si>
  <si>
    <t>- Débit réduit mais acceptable
- Gestion des changements OK</t>
  </si>
  <si>
    <t>OK</t>
  </si>
  <si>
    <t>RAS</t>
  </si>
  <si>
    <t xml:space="preserve">
- Sorter 1 activé
- Pas d'événement perdu</t>
  </si>
  <si>
    <t>Pièce bleu en train d'être trié -&gt; FD At_exit mais la pièce bloqué (de couleur différente) à besoin d'une intervention manuel sur le At_exit</t>
  </si>
  <si>
    <t>NOK</t>
  </si>
  <si>
    <t>Blocage quand pièce Bleu puis pièce différente de bleu</t>
  </si>
  <si>
    <t>Besoin de débloquer avec un FD de at_exit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</si>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</sst>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0"/>
      <name val="Calibri"/>
      <family val="2"/>
    </font>
    <font>
      <b/>
      <sz val="14"/>
      <color rgb="FF2E75B6"/>
      <name val="Calibri"/>
      <family val="2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3" fillId="0" borderId="1" xfId="0" applyFont="1" applyBorder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24" sqref="J24"/>
    </sheetView>
  </sheetViews>
  <sheetFormatPr baseColWidth="10" defaultColWidth="8.83203125" defaultRowHeight="15" x14ac:dyDescent="0.2"/>
  <cols>
    <col min="1" max="5" width="22" customWidth="1"/>
  </cols>
  <sheetData>
    <row r="1" spans="1:6" x14ac:dyDescent="0.2">
      <c r="A1" s="22" t="s">
        <v>0</v>
      </c>
      <c r="B1" s="21"/>
      <c r="C1" s="21"/>
      <c r="D1" s="21"/>
      <c r="E1" s="21"/>
      <c r="F1" s="21"/>
    </row>
    <row r="2" spans="1:6" x14ac:dyDescent="0.2">
      <c r="A2" s="20" t="s">
        <v>1</v>
      </c>
      <c r="B2" s="21"/>
      <c r="C2" s="21"/>
      <c r="D2" s="21"/>
      <c r="E2" s="21"/>
      <c r="F2" s="21"/>
    </row>
    <row r="4" spans="1:6" x14ac:dyDescent="0.2">
      <c r="B4" s="1" t="s">
        <v>2</v>
      </c>
      <c r="C4" t="s">
        <v>3</v>
      </c>
    </row>
    <row r="5" spans="1:6" x14ac:dyDescent="0.2">
      <c r="B5" s="1" t="s">
        <v>4</v>
      </c>
      <c r="C5" t="s">
        <v>5</v>
      </c>
    </row>
    <row r="6" spans="1:6" x14ac:dyDescent="0.2">
      <c r="B6" s="1" t="s">
        <v>6</v>
      </c>
      <c r="C6" t="s">
        <v>7</v>
      </c>
    </row>
    <row r="7" spans="1:6" x14ac:dyDescent="0.2">
      <c r="B7" s="1" t="s">
        <v>8</v>
      </c>
      <c r="C7" t="s">
        <v>9</v>
      </c>
    </row>
    <row r="10" spans="1:6" ht="19" x14ac:dyDescent="0.25">
      <c r="A10" s="2" t="s">
        <v>10</v>
      </c>
    </row>
    <row r="11" spans="1:6" x14ac:dyDescent="0.2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</row>
    <row r="12" spans="1:6" ht="16" x14ac:dyDescent="0.2">
      <c r="A12" s="4" t="s">
        <v>16</v>
      </c>
      <c r="B12" s="5">
        <v>3</v>
      </c>
      <c r="C12" s="5">
        <v>3</v>
      </c>
      <c r="D12" s="5" t="s">
        <v>355</v>
      </c>
      <c r="E12" s="5" t="s">
        <v>355</v>
      </c>
    </row>
    <row r="13" spans="1:6" ht="16" x14ac:dyDescent="0.2">
      <c r="A13" s="6" t="s">
        <v>17</v>
      </c>
      <c r="B13" s="5">
        <v>5</v>
      </c>
      <c r="C13" s="5">
        <v>5</v>
      </c>
      <c r="D13" s="5" t="s">
        <v>355</v>
      </c>
      <c r="E13" s="5" t="s">
        <v>355</v>
      </c>
    </row>
    <row r="14" spans="1:6" ht="16" x14ac:dyDescent="0.2">
      <c r="A14" s="7" t="s">
        <v>18</v>
      </c>
      <c r="B14" s="5">
        <v>6</v>
      </c>
      <c r="C14" s="5">
        <v>5</v>
      </c>
      <c r="D14" s="5">
        <v>1</v>
      </c>
      <c r="E14" s="5" t="s">
        <v>355</v>
      </c>
    </row>
    <row r="15" spans="1:6" ht="16" x14ac:dyDescent="0.2">
      <c r="A15" s="8" t="s">
        <v>19</v>
      </c>
      <c r="B15" s="5">
        <v>8</v>
      </c>
      <c r="C15" s="5">
        <v>8</v>
      </c>
      <c r="D15" s="5" t="s">
        <v>355</v>
      </c>
      <c r="E15" s="5" t="s">
        <v>355</v>
      </c>
    </row>
    <row r="16" spans="1:6" ht="16" x14ac:dyDescent="0.2">
      <c r="A16" s="9" t="s">
        <v>20</v>
      </c>
      <c r="B16" s="5">
        <v>10</v>
      </c>
      <c r="C16" s="5">
        <v>9</v>
      </c>
      <c r="D16" s="5">
        <v>1</v>
      </c>
      <c r="E16" s="5" t="s">
        <v>355</v>
      </c>
    </row>
    <row r="17" spans="1:5" ht="16" x14ac:dyDescent="0.2">
      <c r="A17" s="10" t="s">
        <v>21</v>
      </c>
      <c r="B17" s="5">
        <v>5</v>
      </c>
      <c r="C17" s="5">
        <v>5</v>
      </c>
      <c r="D17" s="5" t="s">
        <v>355</v>
      </c>
      <c r="E17" s="5" t="s">
        <v>355</v>
      </c>
    </row>
    <row r="18" spans="1:5" x14ac:dyDescent="0.2">
      <c r="A18" s="11" t="s">
        <v>22</v>
      </c>
      <c r="B18" s="11">
        <f>SUM(B12:B17)</f>
        <v>37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opLeftCell="E1" workbookViewId="0">
      <selection activeCell="L2" sqref="L1:L104857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style="19" customWidth="1"/>
  </cols>
  <sheetData>
    <row r="1" spans="1:12" x14ac:dyDescent="0.2">
      <c r="A1" s="22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128" x14ac:dyDescent="0.2">
      <c r="A4" s="12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3" t="s">
        <v>43</v>
      </c>
      <c r="I4" s="13" t="s">
        <v>44</v>
      </c>
      <c r="J4" s="13" t="s">
        <v>44</v>
      </c>
      <c r="K4" s="5" t="s">
        <v>348</v>
      </c>
      <c r="L4" s="5" t="s">
        <v>349</v>
      </c>
    </row>
    <row r="5" spans="1:12" ht="80" x14ac:dyDescent="0.2">
      <c r="A5" s="12" t="s">
        <v>45</v>
      </c>
      <c r="B5" s="13" t="s">
        <v>47</v>
      </c>
      <c r="C5" s="13" t="s">
        <v>48</v>
      </c>
      <c r="D5" s="13" t="s">
        <v>49</v>
      </c>
      <c r="E5" s="13" t="s">
        <v>50</v>
      </c>
      <c r="F5" s="13" t="s">
        <v>51</v>
      </c>
      <c r="G5" s="13" t="s">
        <v>52</v>
      </c>
      <c r="H5" s="13" t="s">
        <v>53</v>
      </c>
      <c r="I5" s="13" t="s">
        <v>54</v>
      </c>
      <c r="J5" s="13" t="s">
        <v>54</v>
      </c>
      <c r="K5" s="5" t="s">
        <v>348</v>
      </c>
      <c r="L5" s="5" t="s">
        <v>349</v>
      </c>
    </row>
    <row r="6" spans="1:12" ht="128" x14ac:dyDescent="0.2">
      <c r="A6" s="12" t="s">
        <v>46</v>
      </c>
      <c r="B6" s="13" t="s">
        <v>55</v>
      </c>
      <c r="C6" s="13" t="s">
        <v>56</v>
      </c>
      <c r="D6" s="13" t="s">
        <v>57</v>
      </c>
      <c r="E6" s="13" t="s">
        <v>58</v>
      </c>
      <c r="F6" s="13" t="s">
        <v>59</v>
      </c>
      <c r="G6" s="13" t="s">
        <v>60</v>
      </c>
      <c r="H6" s="13" t="s">
        <v>61</v>
      </c>
      <c r="I6" s="13" t="s">
        <v>62</v>
      </c>
      <c r="J6" s="13" t="s">
        <v>62</v>
      </c>
      <c r="K6" s="5" t="s">
        <v>348</v>
      </c>
      <c r="L6" s="5" t="s">
        <v>349</v>
      </c>
    </row>
  </sheetData>
  <mergeCells count="1">
    <mergeCell ref="A1:L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opLeftCell="E2" workbookViewId="0">
      <selection activeCell="L2" sqref="L1:L1048576"/>
    </sheetView>
  </sheetViews>
  <sheetFormatPr baseColWidth="10" defaultColWidth="8.83203125" defaultRowHeight="15" x14ac:dyDescent="0.2"/>
  <cols>
    <col min="1" max="1" width="7.6640625" bestFit="1" customWidth="1"/>
    <col min="2" max="2" width="20.5" bestFit="1" customWidth="1"/>
    <col min="3" max="3" width="25.6640625" bestFit="1" customWidth="1"/>
    <col min="4" max="4" width="21.1640625" bestFit="1" customWidth="1"/>
    <col min="5" max="5" width="27.5" bestFit="1" customWidth="1"/>
    <col min="6" max="6" width="32.83203125" bestFit="1" customWidth="1"/>
    <col min="7" max="7" width="20" bestFit="1" customWidth="1"/>
    <col min="8" max="8" width="27.83203125" bestFit="1" customWidth="1"/>
    <col min="9" max="9" width="24.83203125" bestFit="1" customWidth="1"/>
    <col min="10" max="10" width="24.1640625" customWidth="1"/>
    <col min="11" max="11" width="14.1640625" customWidth="1"/>
    <col min="12" max="12" width="9" style="19" bestFit="1" customWidth="1"/>
  </cols>
  <sheetData>
    <row r="1" spans="1:12" x14ac:dyDescent="0.2">
      <c r="A1" s="22" t="s">
        <v>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112" x14ac:dyDescent="0.2">
      <c r="A4" s="14" t="s">
        <v>64</v>
      </c>
      <c r="B4" s="13" t="s">
        <v>65</v>
      </c>
      <c r="C4" s="13" t="s">
        <v>66</v>
      </c>
      <c r="D4" s="13" t="s">
        <v>67</v>
      </c>
      <c r="E4" s="13" t="s">
        <v>68</v>
      </c>
      <c r="F4" s="13" t="s">
        <v>69</v>
      </c>
      <c r="G4" s="13" t="s">
        <v>70</v>
      </c>
      <c r="H4" s="13" t="s">
        <v>71</v>
      </c>
      <c r="I4" s="13" t="s">
        <v>72</v>
      </c>
      <c r="J4" s="13" t="s">
        <v>72</v>
      </c>
      <c r="K4" s="5" t="s">
        <v>348</v>
      </c>
      <c r="L4" s="5" t="s">
        <v>349</v>
      </c>
    </row>
    <row r="5" spans="1:12" ht="48" x14ac:dyDescent="0.2">
      <c r="A5" s="14" t="s">
        <v>73</v>
      </c>
      <c r="B5" s="13" t="s">
        <v>74</v>
      </c>
      <c r="C5" s="13" t="s">
        <v>75</v>
      </c>
      <c r="D5" s="13" t="s">
        <v>76</v>
      </c>
      <c r="E5" s="13" t="s">
        <v>77</v>
      </c>
      <c r="F5" s="13" t="s">
        <v>78</v>
      </c>
      <c r="G5" s="13" t="s">
        <v>79</v>
      </c>
      <c r="H5" s="13" t="s">
        <v>80</v>
      </c>
      <c r="I5" s="13" t="s">
        <v>81</v>
      </c>
      <c r="J5" s="13" t="s">
        <v>81</v>
      </c>
      <c r="K5" s="5" t="s">
        <v>348</v>
      </c>
      <c r="L5" s="5" t="s">
        <v>349</v>
      </c>
    </row>
    <row r="6" spans="1:12" ht="48" x14ac:dyDescent="0.2">
      <c r="A6" s="14" t="s">
        <v>82</v>
      </c>
      <c r="B6" s="13" t="s">
        <v>83</v>
      </c>
      <c r="C6" s="13" t="s">
        <v>84</v>
      </c>
      <c r="D6" s="13" t="s">
        <v>85</v>
      </c>
      <c r="E6" s="13" t="s">
        <v>86</v>
      </c>
      <c r="F6" s="13" t="s">
        <v>87</v>
      </c>
      <c r="G6" s="13" t="s">
        <v>88</v>
      </c>
      <c r="H6" s="13" t="s">
        <v>89</v>
      </c>
      <c r="I6" s="13" t="s">
        <v>90</v>
      </c>
      <c r="J6" s="13" t="s">
        <v>90</v>
      </c>
      <c r="K6" s="5" t="s">
        <v>348</v>
      </c>
      <c r="L6" s="5" t="s">
        <v>349</v>
      </c>
    </row>
    <row r="7" spans="1:12" ht="48" x14ac:dyDescent="0.2">
      <c r="A7" s="14" t="s">
        <v>91</v>
      </c>
      <c r="B7" s="13" t="s">
        <v>92</v>
      </c>
      <c r="C7" s="13" t="s">
        <v>93</v>
      </c>
      <c r="D7" s="13" t="s">
        <v>94</v>
      </c>
      <c r="E7" s="13" t="s">
        <v>95</v>
      </c>
      <c r="F7" s="13" t="s">
        <v>96</v>
      </c>
      <c r="G7" s="13" t="s">
        <v>97</v>
      </c>
      <c r="H7" s="13" t="s">
        <v>98</v>
      </c>
      <c r="I7" s="13" t="s">
        <v>99</v>
      </c>
      <c r="J7" s="13" t="s">
        <v>99</v>
      </c>
      <c r="K7" s="5" t="s">
        <v>348</v>
      </c>
      <c r="L7" s="5" t="s">
        <v>349</v>
      </c>
    </row>
    <row r="8" spans="1:12" ht="64" x14ac:dyDescent="0.2">
      <c r="A8" s="14" t="s">
        <v>100</v>
      </c>
      <c r="B8" s="13" t="s">
        <v>101</v>
      </c>
      <c r="C8" s="13" t="s">
        <v>102</v>
      </c>
      <c r="D8" s="13" t="s">
        <v>94</v>
      </c>
      <c r="E8" s="13" t="s">
        <v>103</v>
      </c>
      <c r="F8" s="13" t="s">
        <v>104</v>
      </c>
      <c r="G8" s="13" t="s">
        <v>105</v>
      </c>
      <c r="H8" s="13" t="s">
        <v>106</v>
      </c>
      <c r="I8" s="13" t="s">
        <v>107</v>
      </c>
      <c r="J8" s="13" t="s">
        <v>107</v>
      </c>
      <c r="K8" s="5" t="s">
        <v>348</v>
      </c>
      <c r="L8" s="5" t="s">
        <v>349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topLeftCell="D1" zoomScale="89" workbookViewId="0">
      <selection activeCell="O6" sqref="O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customWidth="1"/>
  </cols>
  <sheetData>
    <row r="1" spans="1:12" x14ac:dyDescent="0.2">
      <c r="A1" s="22" t="s">
        <v>108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112" x14ac:dyDescent="0.2">
      <c r="A4" s="15" t="s">
        <v>109</v>
      </c>
      <c r="B4" s="13" t="s">
        <v>110</v>
      </c>
      <c r="C4" s="13" t="s">
        <v>111</v>
      </c>
      <c r="D4" s="13" t="s">
        <v>112</v>
      </c>
      <c r="E4" s="13" t="s">
        <v>113</v>
      </c>
      <c r="F4" s="13" t="s">
        <v>114</v>
      </c>
      <c r="G4" s="13" t="s">
        <v>115</v>
      </c>
      <c r="H4" s="13" t="s">
        <v>116</v>
      </c>
      <c r="I4" s="13" t="s">
        <v>350</v>
      </c>
      <c r="J4" s="13" t="s">
        <v>350</v>
      </c>
      <c r="K4" s="5" t="s">
        <v>348</v>
      </c>
      <c r="L4" s="5" t="s">
        <v>349</v>
      </c>
    </row>
    <row r="5" spans="1:12" ht="80" x14ac:dyDescent="0.2">
      <c r="A5" s="15" t="s">
        <v>117</v>
      </c>
      <c r="B5" s="13" t="s">
        <v>118</v>
      </c>
      <c r="C5" s="13" t="s">
        <v>119</v>
      </c>
      <c r="D5" s="13" t="s">
        <v>120</v>
      </c>
      <c r="E5" s="13" t="s">
        <v>121</v>
      </c>
      <c r="F5" s="13" t="s">
        <v>122</v>
      </c>
      <c r="G5" s="13" t="s">
        <v>123</v>
      </c>
      <c r="H5" s="13" t="s">
        <v>124</v>
      </c>
      <c r="I5" s="13" t="s">
        <v>125</v>
      </c>
      <c r="J5" s="13" t="s">
        <v>125</v>
      </c>
      <c r="K5" s="5" t="s">
        <v>348</v>
      </c>
      <c r="L5" s="5" t="s">
        <v>349</v>
      </c>
    </row>
    <row r="6" spans="1:12" ht="112" x14ac:dyDescent="0.2">
      <c r="A6" s="15" t="s">
        <v>126</v>
      </c>
      <c r="B6" s="13" t="s">
        <v>127</v>
      </c>
      <c r="C6" s="13" t="s">
        <v>128</v>
      </c>
      <c r="D6" s="13" t="s">
        <v>129</v>
      </c>
      <c r="E6" s="13" t="s">
        <v>130</v>
      </c>
      <c r="F6" s="13" t="s">
        <v>131</v>
      </c>
      <c r="G6" s="13" t="s">
        <v>132</v>
      </c>
      <c r="H6" s="13" t="s">
        <v>133</v>
      </c>
      <c r="I6" s="13" t="s">
        <v>134</v>
      </c>
      <c r="J6" s="13" t="s">
        <v>351</v>
      </c>
      <c r="K6" s="5" t="s">
        <v>352</v>
      </c>
      <c r="L6" s="5" t="s">
        <v>349</v>
      </c>
    </row>
    <row r="7" spans="1:12" ht="80" x14ac:dyDescent="0.2">
      <c r="A7" s="15" t="s">
        <v>135</v>
      </c>
      <c r="B7" s="13" t="s">
        <v>136</v>
      </c>
      <c r="C7" s="13" t="s">
        <v>137</v>
      </c>
      <c r="D7" s="13" t="s">
        <v>138</v>
      </c>
      <c r="E7" s="13" t="s">
        <v>139</v>
      </c>
      <c r="F7" s="13" t="s">
        <v>140</v>
      </c>
      <c r="G7" s="13" t="s">
        <v>141</v>
      </c>
      <c r="H7" s="13" t="s">
        <v>142</v>
      </c>
      <c r="I7" s="13" t="s">
        <v>143</v>
      </c>
      <c r="J7" s="13" t="s">
        <v>143</v>
      </c>
      <c r="K7" s="5" t="s">
        <v>348</v>
      </c>
      <c r="L7" s="5" t="s">
        <v>349</v>
      </c>
    </row>
    <row r="8" spans="1:12" ht="80" x14ac:dyDescent="0.2">
      <c r="A8" s="15" t="s">
        <v>144</v>
      </c>
      <c r="B8" s="13" t="s">
        <v>145</v>
      </c>
      <c r="C8" s="13" t="s">
        <v>146</v>
      </c>
      <c r="D8" s="13" t="s">
        <v>138</v>
      </c>
      <c r="E8" s="13" t="s">
        <v>147</v>
      </c>
      <c r="F8" s="13" t="s">
        <v>148</v>
      </c>
      <c r="G8" s="13" t="s">
        <v>149</v>
      </c>
      <c r="H8" s="13" t="s">
        <v>150</v>
      </c>
      <c r="I8" s="13" t="s">
        <v>151</v>
      </c>
      <c r="J8" s="13" t="s">
        <v>151</v>
      </c>
      <c r="K8" s="5" t="s">
        <v>348</v>
      </c>
      <c r="L8" s="5" t="s">
        <v>349</v>
      </c>
    </row>
    <row r="9" spans="1:12" ht="112" x14ac:dyDescent="0.2">
      <c r="A9" s="15" t="s">
        <v>152</v>
      </c>
      <c r="B9" s="13" t="s">
        <v>153</v>
      </c>
      <c r="C9" s="13" t="s">
        <v>154</v>
      </c>
      <c r="D9" s="13" t="s">
        <v>155</v>
      </c>
      <c r="E9" s="13" t="s">
        <v>156</v>
      </c>
      <c r="F9" s="13" t="s">
        <v>157</v>
      </c>
      <c r="G9" s="13" t="s">
        <v>158</v>
      </c>
      <c r="H9" s="13" t="s">
        <v>159</v>
      </c>
      <c r="I9" s="13" t="s">
        <v>160</v>
      </c>
      <c r="J9" s="13" t="s">
        <v>160</v>
      </c>
      <c r="K9" s="5" t="s">
        <v>348</v>
      </c>
      <c r="L9" s="5" t="s">
        <v>349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topLeftCell="D7" workbookViewId="0">
      <selection activeCell="I14" sqref="I14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style="19" customWidth="1"/>
  </cols>
  <sheetData>
    <row r="1" spans="1:12" x14ac:dyDescent="0.2">
      <c r="A1" s="22" t="s">
        <v>161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100" customHeight="1" x14ac:dyDescent="0.2">
      <c r="A4" s="16" t="s">
        <v>162</v>
      </c>
      <c r="B4" s="13" t="s">
        <v>163</v>
      </c>
      <c r="C4" s="13" t="s">
        <v>164</v>
      </c>
      <c r="D4" s="13" t="s">
        <v>94</v>
      </c>
      <c r="E4" s="13" t="s">
        <v>165</v>
      </c>
      <c r="F4" s="13" t="s">
        <v>166</v>
      </c>
      <c r="G4" s="13" t="s">
        <v>167</v>
      </c>
      <c r="H4" s="13" t="s">
        <v>168</v>
      </c>
      <c r="I4" s="13" t="s">
        <v>169</v>
      </c>
      <c r="J4" s="13" t="s">
        <v>169</v>
      </c>
      <c r="K4" s="5" t="s">
        <v>348</v>
      </c>
      <c r="L4" s="5" t="s">
        <v>349</v>
      </c>
    </row>
    <row r="5" spans="1:12" ht="100" customHeight="1" x14ac:dyDescent="0.2">
      <c r="A5" s="16" t="s">
        <v>170</v>
      </c>
      <c r="B5" s="13" t="s">
        <v>171</v>
      </c>
      <c r="C5" s="13" t="s">
        <v>172</v>
      </c>
      <c r="D5" s="13" t="s">
        <v>94</v>
      </c>
      <c r="E5" s="13" t="s">
        <v>173</v>
      </c>
      <c r="F5" s="13" t="s">
        <v>174</v>
      </c>
      <c r="G5" s="13" t="s">
        <v>175</v>
      </c>
      <c r="H5" s="13" t="s">
        <v>176</v>
      </c>
      <c r="I5" s="13" t="s">
        <v>177</v>
      </c>
      <c r="J5" s="13" t="s">
        <v>177</v>
      </c>
      <c r="K5" s="5" t="s">
        <v>348</v>
      </c>
      <c r="L5" s="5" t="s">
        <v>349</v>
      </c>
    </row>
    <row r="6" spans="1:12" ht="100" customHeight="1" x14ac:dyDescent="0.2">
      <c r="A6" s="16" t="s">
        <v>178</v>
      </c>
      <c r="B6" s="13" t="s">
        <v>179</v>
      </c>
      <c r="C6" s="13" t="s">
        <v>180</v>
      </c>
      <c r="D6" s="13" t="s">
        <v>181</v>
      </c>
      <c r="E6" s="13" t="s">
        <v>182</v>
      </c>
      <c r="F6" s="13" t="s">
        <v>183</v>
      </c>
      <c r="G6" s="13" t="s">
        <v>184</v>
      </c>
      <c r="H6" s="13" t="s">
        <v>185</v>
      </c>
      <c r="I6" s="13" t="s">
        <v>186</v>
      </c>
      <c r="J6" s="13" t="s">
        <v>186</v>
      </c>
      <c r="K6" s="5" t="s">
        <v>348</v>
      </c>
      <c r="L6" s="5" t="s">
        <v>349</v>
      </c>
    </row>
    <row r="7" spans="1:12" ht="100" customHeight="1" x14ac:dyDescent="0.2">
      <c r="A7" s="16" t="s">
        <v>187</v>
      </c>
      <c r="B7" s="13" t="s">
        <v>188</v>
      </c>
      <c r="C7" s="13" t="s">
        <v>189</v>
      </c>
      <c r="D7" s="13" t="s">
        <v>190</v>
      </c>
      <c r="E7" s="13" t="s">
        <v>182</v>
      </c>
      <c r="F7" s="13" t="s">
        <v>191</v>
      </c>
      <c r="G7" s="13" t="s">
        <v>192</v>
      </c>
      <c r="H7" s="13" t="s">
        <v>193</v>
      </c>
      <c r="I7" s="13" t="s">
        <v>194</v>
      </c>
      <c r="J7" s="13" t="s">
        <v>194</v>
      </c>
      <c r="K7" s="5" t="s">
        <v>348</v>
      </c>
      <c r="L7" s="5" t="s">
        <v>349</v>
      </c>
    </row>
    <row r="8" spans="1:12" ht="100" customHeight="1" x14ac:dyDescent="0.2">
      <c r="A8" s="16" t="s">
        <v>195</v>
      </c>
      <c r="B8" s="13" t="s">
        <v>196</v>
      </c>
      <c r="C8" s="13" t="s">
        <v>197</v>
      </c>
      <c r="D8" s="13" t="s">
        <v>94</v>
      </c>
      <c r="E8" s="13" t="s">
        <v>198</v>
      </c>
      <c r="F8" s="13" t="s">
        <v>199</v>
      </c>
      <c r="G8" s="13" t="s">
        <v>200</v>
      </c>
      <c r="H8" s="13" t="s">
        <v>201</v>
      </c>
      <c r="I8" s="13" t="s">
        <v>202</v>
      </c>
      <c r="J8" s="13" t="s">
        <v>202</v>
      </c>
      <c r="K8" s="5" t="s">
        <v>348</v>
      </c>
      <c r="L8" s="5" t="s">
        <v>349</v>
      </c>
    </row>
    <row r="9" spans="1:12" ht="100" customHeight="1" x14ac:dyDescent="0.2">
      <c r="A9" s="16" t="s">
        <v>203</v>
      </c>
      <c r="B9" s="13" t="s">
        <v>204</v>
      </c>
      <c r="C9" s="13" t="s">
        <v>205</v>
      </c>
      <c r="D9" s="13" t="s">
        <v>181</v>
      </c>
      <c r="E9" s="13" t="s">
        <v>206</v>
      </c>
      <c r="F9" s="13" t="s">
        <v>207</v>
      </c>
      <c r="G9" s="13" t="s">
        <v>208</v>
      </c>
      <c r="H9" s="13" t="s">
        <v>209</v>
      </c>
      <c r="I9" s="13" t="s">
        <v>210</v>
      </c>
      <c r="J9" s="13" t="s">
        <v>210</v>
      </c>
      <c r="K9" s="5" t="s">
        <v>348</v>
      </c>
      <c r="L9" s="5" t="s">
        <v>349</v>
      </c>
    </row>
    <row r="10" spans="1:12" ht="100" customHeight="1" x14ac:dyDescent="0.2">
      <c r="A10" s="16" t="s">
        <v>211</v>
      </c>
      <c r="B10" s="13" t="s">
        <v>212</v>
      </c>
      <c r="C10" s="13" t="s">
        <v>213</v>
      </c>
      <c r="D10" s="13" t="s">
        <v>181</v>
      </c>
      <c r="E10" s="13" t="s">
        <v>214</v>
      </c>
      <c r="F10" s="13" t="s">
        <v>215</v>
      </c>
      <c r="G10" s="13" t="s">
        <v>216</v>
      </c>
      <c r="H10" s="13" t="s">
        <v>217</v>
      </c>
      <c r="I10" s="13" t="s">
        <v>218</v>
      </c>
      <c r="J10" s="13" t="s">
        <v>218</v>
      </c>
      <c r="K10" s="5" t="s">
        <v>348</v>
      </c>
      <c r="L10" s="5" t="s">
        <v>349</v>
      </c>
    </row>
    <row r="11" spans="1:12" ht="100" customHeight="1" x14ac:dyDescent="0.2">
      <c r="A11" s="16" t="s">
        <v>219</v>
      </c>
      <c r="B11" s="13" t="s">
        <v>220</v>
      </c>
      <c r="C11" s="13" t="s">
        <v>221</v>
      </c>
      <c r="D11" s="13" t="s">
        <v>181</v>
      </c>
      <c r="E11" s="13" t="s">
        <v>222</v>
      </c>
      <c r="F11" s="13" t="s">
        <v>223</v>
      </c>
      <c r="G11" s="13" t="s">
        <v>224</v>
      </c>
      <c r="H11" s="13" t="s">
        <v>225</v>
      </c>
      <c r="I11" s="13" t="s">
        <v>226</v>
      </c>
      <c r="J11" s="13" t="s">
        <v>226</v>
      </c>
      <c r="K11" s="5" t="s">
        <v>348</v>
      </c>
      <c r="L11" s="5" t="s">
        <v>349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topLeftCell="E1" workbookViewId="0">
      <selection activeCell="N17" sqref="N17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8" customWidth="1"/>
    <col min="11" max="11" width="10" customWidth="1"/>
    <col min="12" max="12" width="20" style="19" customWidth="1"/>
  </cols>
  <sheetData>
    <row r="1" spans="1:12" x14ac:dyDescent="0.2">
      <c r="A1" s="22" t="s">
        <v>227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100" customHeight="1" x14ac:dyDescent="0.2">
      <c r="A4" s="17" t="s">
        <v>228</v>
      </c>
      <c r="B4" s="13" t="s">
        <v>229</v>
      </c>
      <c r="C4" s="13" t="s">
        <v>230</v>
      </c>
      <c r="D4" s="13" t="s">
        <v>57</v>
      </c>
      <c r="E4" s="13" t="s">
        <v>231</v>
      </c>
      <c r="F4" s="13" t="s">
        <v>232</v>
      </c>
      <c r="G4" s="13" t="s">
        <v>233</v>
      </c>
      <c r="H4" s="13" t="s">
        <v>234</v>
      </c>
      <c r="I4" s="13" t="s">
        <v>235</v>
      </c>
      <c r="J4" s="13" t="s">
        <v>235</v>
      </c>
      <c r="K4" s="5" t="s">
        <v>348</v>
      </c>
      <c r="L4" s="5" t="s">
        <v>349</v>
      </c>
    </row>
    <row r="5" spans="1:12" ht="100" customHeight="1" x14ac:dyDescent="0.2">
      <c r="A5" s="17" t="s">
        <v>236</v>
      </c>
      <c r="B5" s="13" t="s">
        <v>237</v>
      </c>
      <c r="C5" s="13" t="s">
        <v>238</v>
      </c>
      <c r="D5" s="13" t="s">
        <v>94</v>
      </c>
      <c r="E5" s="13" t="s">
        <v>239</v>
      </c>
      <c r="F5" s="13" t="s">
        <v>240</v>
      </c>
      <c r="G5" s="13" t="s">
        <v>241</v>
      </c>
      <c r="H5" s="13" t="s">
        <v>242</v>
      </c>
      <c r="I5" s="13" t="s">
        <v>243</v>
      </c>
      <c r="J5" s="13" t="s">
        <v>243</v>
      </c>
      <c r="K5" s="5" t="s">
        <v>348</v>
      </c>
      <c r="L5" s="5" t="s">
        <v>349</v>
      </c>
    </row>
    <row r="6" spans="1:12" ht="100" customHeight="1" x14ac:dyDescent="0.2">
      <c r="A6" s="17" t="s">
        <v>244</v>
      </c>
      <c r="B6" s="13" t="s">
        <v>245</v>
      </c>
      <c r="C6" s="13" t="s">
        <v>246</v>
      </c>
      <c r="D6" s="13" t="s">
        <v>94</v>
      </c>
      <c r="E6" s="13" t="s">
        <v>239</v>
      </c>
      <c r="F6" s="13" t="s">
        <v>247</v>
      </c>
      <c r="G6" s="13" t="s">
        <v>248</v>
      </c>
      <c r="H6" s="13" t="s">
        <v>249</v>
      </c>
      <c r="I6" s="13" t="s">
        <v>250</v>
      </c>
      <c r="J6" s="13" t="s">
        <v>250</v>
      </c>
      <c r="K6" s="5" t="s">
        <v>348</v>
      </c>
      <c r="L6" s="5" t="s">
        <v>349</v>
      </c>
    </row>
    <row r="7" spans="1:12" ht="100" customHeight="1" x14ac:dyDescent="0.2">
      <c r="A7" s="17" t="s">
        <v>251</v>
      </c>
      <c r="B7" s="13" t="s">
        <v>252</v>
      </c>
      <c r="C7" s="13" t="s">
        <v>253</v>
      </c>
      <c r="D7" s="13" t="s">
        <v>94</v>
      </c>
      <c r="E7" s="13" t="s">
        <v>254</v>
      </c>
      <c r="F7" s="13" t="s">
        <v>255</v>
      </c>
      <c r="G7" s="13" t="s">
        <v>256</v>
      </c>
      <c r="H7" s="13" t="s">
        <v>257</v>
      </c>
      <c r="I7" s="13" t="s">
        <v>258</v>
      </c>
      <c r="J7" s="13" t="s">
        <v>353</v>
      </c>
      <c r="K7" s="5" t="s">
        <v>352</v>
      </c>
      <c r="L7" s="5" t="s">
        <v>354</v>
      </c>
    </row>
    <row r="8" spans="1:12" ht="100" customHeight="1" x14ac:dyDescent="0.2">
      <c r="A8" s="17" t="s">
        <v>259</v>
      </c>
      <c r="B8" s="13" t="s">
        <v>260</v>
      </c>
      <c r="C8" s="13" t="s">
        <v>261</v>
      </c>
      <c r="D8" s="13" t="s">
        <v>94</v>
      </c>
      <c r="E8" s="13" t="s">
        <v>262</v>
      </c>
      <c r="F8" s="13" t="s">
        <v>263</v>
      </c>
      <c r="G8" s="13" t="s">
        <v>264</v>
      </c>
      <c r="H8" s="13" t="s">
        <v>265</v>
      </c>
      <c r="I8" s="13" t="s">
        <v>266</v>
      </c>
      <c r="J8" s="13" t="s">
        <v>266</v>
      </c>
      <c r="K8" s="5" t="s">
        <v>348</v>
      </c>
      <c r="L8" s="5" t="s">
        <v>349</v>
      </c>
    </row>
    <row r="9" spans="1:12" ht="100" customHeight="1" x14ac:dyDescent="0.2">
      <c r="A9" s="17" t="s">
        <v>267</v>
      </c>
      <c r="B9" s="13" t="s">
        <v>268</v>
      </c>
      <c r="C9" s="13" t="s">
        <v>269</v>
      </c>
      <c r="D9" s="13" t="s">
        <v>94</v>
      </c>
      <c r="E9" s="13" t="s">
        <v>239</v>
      </c>
      <c r="F9" s="13" t="s">
        <v>270</v>
      </c>
      <c r="G9" s="13" t="s">
        <v>271</v>
      </c>
      <c r="H9" s="13" t="s">
        <v>272</v>
      </c>
      <c r="I9" s="13" t="s">
        <v>273</v>
      </c>
      <c r="J9" s="13" t="s">
        <v>273</v>
      </c>
      <c r="K9" s="5" t="s">
        <v>348</v>
      </c>
      <c r="L9" s="5" t="s">
        <v>349</v>
      </c>
    </row>
    <row r="10" spans="1:12" ht="100" customHeight="1" x14ac:dyDescent="0.2">
      <c r="A10" s="17" t="s">
        <v>274</v>
      </c>
      <c r="B10" s="13" t="s">
        <v>275</v>
      </c>
      <c r="C10" s="13" t="s">
        <v>276</v>
      </c>
      <c r="D10" s="13" t="s">
        <v>94</v>
      </c>
      <c r="E10" s="13" t="s">
        <v>277</v>
      </c>
      <c r="F10" s="13" t="s">
        <v>278</v>
      </c>
      <c r="G10" s="13" t="s">
        <v>279</v>
      </c>
      <c r="H10" s="13" t="s">
        <v>280</v>
      </c>
      <c r="I10" s="13" t="s">
        <v>281</v>
      </c>
      <c r="J10" s="13" t="s">
        <v>281</v>
      </c>
      <c r="K10" s="5" t="s">
        <v>348</v>
      </c>
      <c r="L10" s="5" t="s">
        <v>349</v>
      </c>
    </row>
    <row r="11" spans="1:12" ht="100" customHeight="1" x14ac:dyDescent="0.2">
      <c r="A11" s="17" t="s">
        <v>282</v>
      </c>
      <c r="B11" s="13" t="s">
        <v>283</v>
      </c>
      <c r="C11" s="13" t="s">
        <v>284</v>
      </c>
      <c r="D11" s="13" t="s">
        <v>94</v>
      </c>
      <c r="E11" s="13" t="s">
        <v>285</v>
      </c>
      <c r="F11" s="13" t="s">
        <v>286</v>
      </c>
      <c r="G11" s="13" t="s">
        <v>287</v>
      </c>
      <c r="H11" s="13" t="s">
        <v>288</v>
      </c>
      <c r="I11" s="13" t="s">
        <v>289</v>
      </c>
      <c r="J11" s="13" t="s">
        <v>289</v>
      </c>
      <c r="K11" s="5" t="s">
        <v>348</v>
      </c>
      <c r="L11" s="5" t="s">
        <v>349</v>
      </c>
    </row>
    <row r="12" spans="1:12" ht="100" customHeight="1" x14ac:dyDescent="0.2">
      <c r="A12" s="17" t="s">
        <v>290</v>
      </c>
      <c r="B12" s="13" t="s">
        <v>291</v>
      </c>
      <c r="C12" s="13" t="s">
        <v>292</v>
      </c>
      <c r="D12" s="13" t="s">
        <v>293</v>
      </c>
      <c r="E12" s="13" t="s">
        <v>294</v>
      </c>
      <c r="F12" s="13" t="s">
        <v>295</v>
      </c>
      <c r="G12" s="13" t="s">
        <v>296</v>
      </c>
      <c r="H12" s="13" t="s">
        <v>297</v>
      </c>
      <c r="I12" s="13" t="s">
        <v>298</v>
      </c>
      <c r="J12" s="13" t="s">
        <v>298</v>
      </c>
      <c r="K12" s="5" t="s">
        <v>348</v>
      </c>
      <c r="L12" s="5" t="s">
        <v>349</v>
      </c>
    </row>
    <row r="13" spans="1:12" ht="100" customHeight="1" x14ac:dyDescent="0.2">
      <c r="A13" s="17" t="s">
        <v>299</v>
      </c>
      <c r="B13" s="13" t="s">
        <v>300</v>
      </c>
      <c r="C13" s="13" t="s">
        <v>301</v>
      </c>
      <c r="D13" s="13" t="s">
        <v>302</v>
      </c>
      <c r="E13" s="13" t="s">
        <v>303</v>
      </c>
      <c r="F13" s="13" t="s">
        <v>304</v>
      </c>
      <c r="G13" s="13" t="s">
        <v>305</v>
      </c>
      <c r="H13" s="13" t="s">
        <v>306</v>
      </c>
      <c r="I13" s="13" t="s">
        <v>307</v>
      </c>
      <c r="J13" s="13" t="s">
        <v>307</v>
      </c>
      <c r="K13" s="5" t="s">
        <v>348</v>
      </c>
      <c r="L13" s="5" t="s">
        <v>349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topLeftCell="E1" workbookViewId="0">
      <selection activeCell="Q6" sqref="Q6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6" customWidth="1"/>
    <col min="4" max="4" width="22" customWidth="1"/>
    <col min="5" max="5" width="28" customWidth="1"/>
    <col min="6" max="6" width="35" customWidth="1"/>
    <col min="7" max="7" width="22" customWidth="1"/>
    <col min="8" max="8" width="28" customWidth="1"/>
    <col min="9" max="9" width="26" customWidth="1"/>
    <col min="10" max="10" width="17.5" bestFit="1" customWidth="1"/>
    <col min="11" max="11" width="12.5" bestFit="1" customWidth="1"/>
    <col min="12" max="12" width="20" customWidth="1"/>
  </cols>
  <sheetData>
    <row r="1" spans="1:12" x14ac:dyDescent="0.2">
      <c r="A1" s="22" t="s">
        <v>308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2" x14ac:dyDescent="0.2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spans="1:12" ht="100" customHeight="1" x14ac:dyDescent="0.2">
      <c r="A4" s="18" t="s">
        <v>309</v>
      </c>
      <c r="B4" s="13" t="s">
        <v>310</v>
      </c>
      <c r="C4" s="13" t="s">
        <v>311</v>
      </c>
      <c r="D4" s="13" t="s">
        <v>94</v>
      </c>
      <c r="E4" s="13" t="s">
        <v>312</v>
      </c>
      <c r="F4" s="13" t="s">
        <v>313</v>
      </c>
      <c r="G4" s="13" t="s">
        <v>314</v>
      </c>
      <c r="H4" s="13" t="s">
        <v>315</v>
      </c>
      <c r="I4" s="13" t="s">
        <v>316</v>
      </c>
      <c r="J4" s="13" t="s">
        <v>315</v>
      </c>
      <c r="K4" s="5" t="s">
        <v>348</v>
      </c>
      <c r="L4" s="5" t="s">
        <v>349</v>
      </c>
    </row>
    <row r="5" spans="1:12" ht="100" customHeight="1" x14ac:dyDescent="0.2">
      <c r="A5" s="18" t="s">
        <v>317</v>
      </c>
      <c r="B5" s="13" t="s">
        <v>318</v>
      </c>
      <c r="C5" s="13" t="s">
        <v>319</v>
      </c>
      <c r="D5" s="13" t="s">
        <v>320</v>
      </c>
      <c r="E5" s="13" t="s">
        <v>321</v>
      </c>
      <c r="F5" s="13" t="s">
        <v>322</v>
      </c>
      <c r="G5" s="13" t="s">
        <v>323</v>
      </c>
      <c r="H5" s="13" t="s">
        <v>324</v>
      </c>
      <c r="I5" s="13" t="s">
        <v>325</v>
      </c>
      <c r="J5" s="13" t="s">
        <v>324</v>
      </c>
      <c r="K5" s="5" t="s">
        <v>348</v>
      </c>
      <c r="L5" s="5" t="s">
        <v>349</v>
      </c>
    </row>
    <row r="6" spans="1:12" ht="100" customHeight="1" x14ac:dyDescent="0.2">
      <c r="A6" s="18" t="s">
        <v>326</v>
      </c>
      <c r="B6" s="13" t="s">
        <v>327</v>
      </c>
      <c r="C6" s="13" t="s">
        <v>328</v>
      </c>
      <c r="D6" s="13" t="s">
        <v>94</v>
      </c>
      <c r="E6" s="13" t="s">
        <v>86</v>
      </c>
      <c r="F6" s="13" t="s">
        <v>329</v>
      </c>
      <c r="G6" s="13" t="s">
        <v>330</v>
      </c>
      <c r="H6" s="13" t="s">
        <v>331</v>
      </c>
      <c r="I6" s="13" t="s">
        <v>332</v>
      </c>
      <c r="J6" s="13" t="s">
        <v>331</v>
      </c>
      <c r="K6" s="5" t="s">
        <v>348</v>
      </c>
      <c r="L6" s="5" t="s">
        <v>349</v>
      </c>
    </row>
    <row r="7" spans="1:12" ht="100" customHeight="1" x14ac:dyDescent="0.2">
      <c r="A7" s="18" t="s">
        <v>333</v>
      </c>
      <c r="B7" s="13" t="s">
        <v>334</v>
      </c>
      <c r="C7" s="13" t="s">
        <v>335</v>
      </c>
      <c r="D7" s="13" t="s">
        <v>94</v>
      </c>
      <c r="E7" s="13" t="s">
        <v>336</v>
      </c>
      <c r="F7" s="13" t="s">
        <v>337</v>
      </c>
      <c r="G7" s="13" t="s">
        <v>252</v>
      </c>
      <c r="H7" s="13" t="s">
        <v>338</v>
      </c>
      <c r="I7" s="13" t="s">
        <v>339</v>
      </c>
      <c r="J7" s="13" t="s">
        <v>338</v>
      </c>
      <c r="K7" s="5" t="s">
        <v>348</v>
      </c>
      <c r="L7" s="5" t="s">
        <v>349</v>
      </c>
    </row>
    <row r="8" spans="1:12" ht="100" customHeight="1" x14ac:dyDescent="0.2">
      <c r="A8" s="18" t="s">
        <v>340</v>
      </c>
      <c r="B8" s="13" t="s">
        <v>341</v>
      </c>
      <c r="C8" s="13" t="s">
        <v>342</v>
      </c>
      <c r="D8" s="13" t="s">
        <v>94</v>
      </c>
      <c r="E8" s="13" t="s">
        <v>343</v>
      </c>
      <c r="F8" s="13" t="s">
        <v>344</v>
      </c>
      <c r="G8" s="13" t="s">
        <v>345</v>
      </c>
      <c r="H8" s="13" t="s">
        <v>346</v>
      </c>
      <c r="I8" s="13" t="s">
        <v>347</v>
      </c>
      <c r="J8" s="13" t="s">
        <v>346</v>
      </c>
      <c r="K8" s="5" t="s">
        <v>348</v>
      </c>
      <c r="L8" s="5" t="s">
        <v>349</v>
      </c>
    </row>
  </sheetData>
  <mergeCells count="1">
    <mergeCell ref="A1:L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99BC9-0B39-4160-85BB-BF63AC975E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516c02-b9f1-42d8-97df-19f84f272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2463F7-4E32-4B7A-B3C8-F1F1C94C84C1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d516c02-b9f1-42d8-97df-19f84f27208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0C91E64-EB12-4494-8E0C-8664F62E90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Chaîne_Initialisation</vt:lpstr>
      <vt:lpstr>Chaîne_Cyclique</vt:lpstr>
      <vt:lpstr>Chaîne_Événementielle</vt:lpstr>
      <vt:lpstr>Sécurité_AU_Stop_Reset</vt:lpstr>
      <vt:lpstr>Scénarios_Fonctionnels</vt:lpstr>
      <vt:lpstr>Performance_Timing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2026-01-23T10:11:54Z</dcterms:created>
  <dcterms:modified xsi:type="dcterms:W3CDTF">2026-02-04T14:50:53Z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