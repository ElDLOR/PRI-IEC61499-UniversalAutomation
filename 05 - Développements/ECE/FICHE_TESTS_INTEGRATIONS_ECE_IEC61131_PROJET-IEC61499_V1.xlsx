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amienlorigeon/Documents/Polytech/5A/PRI/PRI-IEC61499-UniversalAutomation/05 - Développement/ECE/"/>
    </mc:Choice>
  </mc:AlternateContent>
  <xr:revisionPtr revIDLastSave="0" documentId="13_ncr:1_{A98368EC-0DCA-1B45-9B44-1703449BD8AE}" xr6:coauthVersionLast="47" xr6:coauthVersionMax="47" xr10:uidLastSave="{00000000-0000-0000-0000-000000000000}"/>
  <bookViews>
    <workbookView xWindow="0" yWindow="600" windowWidth="28800" windowHeight="16260" activeTab="1" xr2:uid="{00000000-000D-0000-FFFF-FFFF00000000}"/>
  </bookViews>
  <sheets>
    <sheet name="Tests Integration" sheetId="1" r:id="rId1"/>
    <sheet name="Synthè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</calcChain>
</file>

<file path=xl/sharedStrings.xml><?xml version="1.0" encoding="utf-8"?>
<sst xmlns="http://schemas.openxmlformats.org/spreadsheetml/2006/main" count="221" uniqueCount="181">
  <si>
    <t>FICHE DE TESTS D'INTÉGRATION - Station de Tri IEC 61131 / IEC 61499</t>
  </si>
  <si>
    <t>ID Test</t>
  </si>
  <si>
    <t>Scénario</t>
  </si>
  <si>
    <t>Description</t>
  </si>
  <si>
    <t>Modules impliqués</t>
  </si>
  <si>
    <t>Préconditions</t>
  </si>
  <si>
    <t>Séquence de test</t>
  </si>
  <si>
    <t>Entrées</t>
  </si>
  <si>
    <t>Sorties attendues</t>
  </si>
  <si>
    <t>Critères de réussite</t>
  </si>
  <si>
    <t>Statut</t>
  </si>
  <si>
    <t>Commentaires</t>
  </si>
  <si>
    <t>Date</t>
  </si>
  <si>
    <t>TI-SEQ-001</t>
  </si>
  <si>
    <t>Cycle complet de tri</t>
  </si>
  <si>
    <t>Vérifier le cycle complet: entrée pièce → détection → identification → tri vers sortie appropriée</t>
  </si>
  <si>
    <t>entry_conveyor, vision_sensor, sorter_1/2/3, exit1/2/3, counter</t>
  </si>
  <si>
    <t>Système en mode AUTO, Factory IO connecté, aucun défaut</t>
  </si>
  <si>
    <t>1. Démarrer le système (start)
2. Introduire pièce type 1
3. Observer détection vision_sensor
4. Vérifier acheminement vers exit1
5. Vérifier incrémentation counter_1</t>
  </si>
  <si>
    <t>Pièce type 1 sur convoyeur</t>
  </si>
  <si>
    <t>Pièce triée vers exit1, counter_1++</t>
  </si>
  <si>
    <t>Pièce arrive à exit1 en moins de 30s, compteur correct</t>
  </si>
  <si>
    <t>TI-SEQ-002</t>
  </si>
  <si>
    <t>Tri pièce type 2 vers sortie 2</t>
  </si>
  <si>
    <t>Vérifier le tri correct d'une pièce type 2 vers la sortie 2</t>
  </si>
  <si>
    <t>vision_sensor, sorter_2_turn, sorter_2_belt, exit2</t>
  </si>
  <si>
    <t>Système en mode AUTO, convoyeurs actifs</t>
  </si>
  <si>
    <t>1. Introduire pièce type 2
2. Attendre identification
3. Observer activation sorter_2_turn
4. Vérifier arrivée à exit2</t>
  </si>
  <si>
    <t>Pièce type 2 (couleur spécifique)</t>
  </si>
  <si>
    <t>sorter_2_turn activé, pièce à exit2</t>
  </si>
  <si>
    <t>Pièce correctement orientée et évacuée vers exit2</t>
  </si>
  <si>
    <t>TI-SEQ-003</t>
  </si>
  <si>
    <t>Tri pièce type 3 vers sortie 3</t>
  </si>
  <si>
    <t>Vérifier le tri correct d'une pièce type 3 vers la sortie 3</t>
  </si>
  <si>
    <t>vision_sensor, sorter_3_turn, sorter_3_belt, exit3</t>
  </si>
  <si>
    <t>1. Introduire pièce type 3
2. Attendre identification
3. Observer activation sorter_3_turn
4. Vérifier arrivée à exit3</t>
  </si>
  <si>
    <t>Pièce type 3 (couleur spécifique)</t>
  </si>
  <si>
    <t>sorter_3_turn activé, pièce à exit3</t>
  </si>
  <si>
    <t>Pièce correctement orientée et évacuée vers exit3</t>
  </si>
  <si>
    <t>TI-MULTI-001</t>
  </si>
  <si>
    <t>Traitement de plusieurs pièces consécutives</t>
  </si>
  <si>
    <t>Vérifier que le système gère correctement plusieurs pièces à la suite</t>
  </si>
  <si>
    <t>Tous les modules de convoyage et tri</t>
  </si>
  <si>
    <t>Système en mode AUTO stable</t>
  </si>
  <si>
    <t>1. Introduire 5 pièces de types différents rapidement
2. Observer le flux sans collision
3. Vérifier tri correct de chaque pièce</t>
  </si>
  <si>
    <t>5 pièces (mix de types 1, 2, 3)</t>
  </si>
  <si>
    <t>Chaque pièce triée correctement, pas de collision</t>
  </si>
  <si>
    <t>Toutes pièces triées sans erreur ni collision</t>
  </si>
  <si>
    <t>TI-MULTI-002</t>
  </si>
  <si>
    <t>Test de cadence maximale</t>
  </si>
  <si>
    <t>Vérifier la cadence maximale supportée par le système</t>
  </si>
  <si>
    <t>entry_conveyor, vision_sensor, tous sorters</t>
  </si>
  <si>
    <t>Système en mode AUTO, production continue</t>
  </si>
  <si>
    <t>1. Introduire pièces à intervalle régulier (2s)
2. Réduire progressivement l'intervalle
3. Noter la cadence limite</t>
  </si>
  <si>
    <t>Pièces en continu</t>
  </si>
  <si>
    <t>Tri correct maintenu</t>
  </si>
  <si>
    <t>Identification de la cadence max sans erreur</t>
  </si>
  <si>
    <t>TI-SEC-001</t>
  </si>
  <si>
    <t>Arrêt d'urgence pendant le cycle</t>
  </si>
  <si>
    <t>Vérifier le comportement lors d'un arrêt d'urgence en cours de cycle</t>
  </si>
  <si>
    <t>stop, tous convoyeurs, stop_blade</t>
  </si>
  <si>
    <t>Système en marche avec pièces sur convoyeur</t>
  </si>
  <si>
    <t>1. Lancer cycle avec plusieurs pièces
2. Appuyer STOP en cours de cycle
3. Vérifier arrêt immédiat
4. Vérifier état des pièces</t>
  </si>
  <si>
    <t>stop = TRUE pendant cycle</t>
  </si>
  <si>
    <t>Arrêt immédiat de tous les actionneurs</t>
  </si>
  <si>
    <t>Système arrêté, pièces maintenues en position</t>
  </si>
  <si>
    <t>TI-SEC-002</t>
  </si>
  <si>
    <t>Reprise après arrêt</t>
  </si>
  <si>
    <t>Vérifier la reprise correcte après un arrêt</t>
  </si>
  <si>
    <t>start, reset, tous modules</t>
  </si>
  <si>
    <t>Système arrêté avec pièces en cours de traitement</t>
  </si>
  <si>
    <t>1. Après arrêt d'urgence
2. Appuyer reset
3. Appuyer start
4. Vérifier reprise du cycle</t>
  </si>
  <si>
    <t>reset puis start</t>
  </si>
  <si>
    <t>Reprise du cycle, pièces acheminées</t>
  </si>
  <si>
    <t>Cycle reprend sans perte de pièce</t>
  </si>
  <si>
    <t>TI-SEC-003</t>
  </si>
  <si>
    <t>Test du stop_blade en cas de saturation</t>
  </si>
  <si>
    <t>Vérifier l'activation du stop_blade quand une sortie est pleine</t>
  </si>
  <si>
    <t>stop_blade, sensors, counters</t>
  </si>
  <si>
    <t>Système en mode AUTO, une sortie quasi-pleine</t>
  </si>
  <si>
    <t>1. Remplir exit1 près de la limite
2. Introduire nouvelle pièce type 1
3. Vérifier activation stop_blade</t>
  </si>
  <si>
    <t>Sortie 1 saturée + nouvelle pièce type 1</t>
  </si>
  <si>
    <t>stop_blade activé, pièce retenue</t>
  </si>
  <si>
    <t>Stop blade empêche surcharge de la sortie</t>
  </si>
  <si>
    <t>TI-INIT-001</t>
  </si>
  <si>
    <t>Séquence d'initialisation système</t>
  </si>
  <si>
    <t>Vérifier la séquence complète d'initialisation au démarrage</t>
  </si>
  <si>
    <t>init, reset, tous modules</t>
  </si>
  <si>
    <t>Système éteint</t>
  </si>
  <si>
    <t>1. Mettre sous tension
2. Observer séquence init
3. Vérifier positions initiales
4. Vérifier état des voyants</t>
  </si>
  <si>
    <t>Mise sous tension</t>
  </si>
  <si>
    <t>init terminé, système prêt</t>
  </si>
  <si>
    <t>Tous actionneurs en position initiale, voyants OK</t>
  </si>
  <si>
    <t>TI-INIT-002</t>
  </si>
  <si>
    <t>Reset après défaut</t>
  </si>
  <si>
    <t>Vérifier la procédure de reset après détection d'un défaut</t>
  </si>
  <si>
    <t>reset, reset_light, défauts</t>
  </si>
  <si>
    <t>Système en défaut (simulé)</t>
  </si>
  <si>
    <t>1. Provoquer un défaut
2. Vérifier détection et signalisation
3. Appuyer reset
4. Vérifier acquittement</t>
  </si>
  <si>
    <t>Défaut présent puis reset</t>
  </si>
  <si>
    <t>Défaut acquitté, système prêt</t>
  </si>
  <si>
    <t>Système reprend fonctionnement normal après reset</t>
  </si>
  <si>
    <t>TI-CNT-001</t>
  </si>
  <si>
    <t>Vérification cohérence des compteurs</t>
  </si>
  <si>
    <t>Vérifier que la somme des compteurs de sortie égale le compteur d'entrée</t>
  </si>
  <si>
    <t>counter_1 à 4, exit1/2/3</t>
  </si>
  <si>
    <t>Compteurs réinitialisés à 0</t>
  </si>
  <si>
    <t>1. Reset tous compteurs
2. Faire passer 20 pièces variées
3. Comparer somme exit1+exit2+exit3 avec total entrée</t>
  </si>
  <si>
    <t>20 pièces de types variés</t>
  </si>
  <si>
    <t>Σ(exit_i) = total entrée</t>
  </si>
  <si>
    <t>Aucune pièce perdue ou comptée en double</t>
  </si>
  <si>
    <t>TI-CNT-002</t>
  </si>
  <si>
    <t>Reset des compteurs</t>
  </si>
  <si>
    <t>Vérifier la fonction de remise à zéro des compteurs</t>
  </si>
  <si>
    <t>counter_1 à 4, reset</t>
  </si>
  <si>
    <t>Compteurs avec valeurs non nulles</t>
  </si>
  <si>
    <t>1. Effectuer quelques cycles
2. Noter valeurs compteurs
3. Effectuer reset compteurs
4. Vérifier RAZ</t>
  </si>
  <si>
    <t>Commande reset compteurs</t>
  </si>
  <si>
    <t>Tous compteurs = 0</t>
  </si>
  <si>
    <t>Tous compteurs remis à zéro</t>
  </si>
  <si>
    <t>TI-SFC-001</t>
  </si>
  <si>
    <t>Vérification séquence SFC</t>
  </si>
  <si>
    <t>Vérifier le déroulement correct du grafcet principal</t>
  </si>
  <si>
    <t>sfccntrl_1, tous états</t>
  </si>
  <si>
    <t>Système initialisé</t>
  </si>
  <si>
    <t>1. Observer état initial SFC
2. Déclencher conditions
3. Vérifier transitions
4. Vérifier actions associées</t>
  </si>
  <si>
    <t>Conditions de transition</t>
  </si>
  <si>
    <t>Transitions correctes, actions exécutées</t>
  </si>
  <si>
    <t>Grafcet se déroule selon spécification</t>
  </si>
  <si>
    <t>TI-SFC-002</t>
  </si>
  <si>
    <t>Gestion des divergences/convergences</t>
  </si>
  <si>
    <t>Vérifier le comportement aux points de divergence du grafcet</t>
  </si>
  <si>
    <t>SFC, conditions de tri</t>
  </si>
  <si>
    <t>Système en marche, pièce détectée</t>
  </si>
  <si>
    <t>1. Pièce identifiée
2. Vérifier activation branche correcte
3. Vérifier non-activation autres branches</t>
  </si>
  <si>
    <t>Pièce identifiée type X</t>
  </si>
  <si>
    <t>Seule branche type X activée</t>
  </si>
  <si>
    <t>Une seule branche activée selon type pièce</t>
  </si>
  <si>
    <t>TI-ROB-001</t>
  </si>
  <si>
    <t>Comportement en cas de pièce mal positionnée</t>
  </si>
  <si>
    <t>Vérifier la gestion d'une pièce coincée ou mal orientée</t>
  </si>
  <si>
    <t>sensors, timeout, alarmes</t>
  </si>
  <si>
    <t>Système en marche normale</t>
  </si>
  <si>
    <t>1. Introduire pièce volontairement mal positionnée
2. Observer détection de l'anomalie
3. Vérifier gestion de l'erreur</t>
  </si>
  <si>
    <t>Pièce mal positionnée</t>
  </si>
  <si>
    <t>Détection anomalie, alarme, action corrective</t>
  </si>
  <si>
    <t>Système détecte et gère l'anomalie</t>
  </si>
  <si>
    <t>TI-PERF-001</t>
  </si>
  <si>
    <t>Test de charge prolongé</t>
  </si>
  <si>
    <t>Vérifier la stabilité du système sur une longue période</t>
  </si>
  <si>
    <t>Tous modules</t>
  </si>
  <si>
    <t>Système en mode AUTO</t>
  </si>
  <si>
    <t>1. Lancer production continue pendant 1h
2. Monitorer performances
3. Vérifier absence de dérive</t>
  </si>
  <si>
    <t>Production continue 1h</t>
  </si>
  <si>
    <t>Pas de dégradation performances</t>
  </si>
  <si>
    <t>Système stable, pas d'erreur cumulative</t>
  </si>
  <si>
    <t>Synthèse des Tests d'Intégration</t>
  </si>
  <si>
    <t>Catégorie</t>
  </si>
  <si>
    <t>Nombre de tests</t>
  </si>
  <si>
    <t>Statut global</t>
  </si>
  <si>
    <t>Séquences de tri</t>
  </si>
  <si>
    <t>Tests cycle complet</t>
  </si>
  <si>
    <t>Multi-pièces</t>
  </si>
  <si>
    <t>Tests cadence et flux</t>
  </si>
  <si>
    <t>Sécurité</t>
  </si>
  <si>
    <t>Arrêts et reprises</t>
  </si>
  <si>
    <t>Initialisation</t>
  </si>
  <si>
    <t>Démarrage et reset</t>
  </si>
  <si>
    <t>Compteurs</t>
  </si>
  <si>
    <t>Statistiques</t>
  </si>
  <si>
    <t>SFC/Grafcet</t>
  </si>
  <si>
    <t>Séquencement</t>
  </si>
  <si>
    <t>Robustesse</t>
  </si>
  <si>
    <t>Gestion erreurs</t>
  </si>
  <si>
    <t>Performance</t>
  </si>
  <si>
    <t>Temps et charge</t>
  </si>
  <si>
    <t>TOTAL</t>
  </si>
  <si>
    <t>OK</t>
  </si>
  <si>
    <t>RAS</t>
  </si>
  <si>
    <t>2 erreurs de tri</t>
  </si>
  <si>
    <t>Date: 12/12/2025 | Version: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</si>
</sst>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opLeftCell="A2" zoomScale="86" workbookViewId="0">
      <selection activeCell="B20" sqref="B20"/>
    </sheetView>
  </sheetViews>
  <sheetFormatPr baseColWidth="10" defaultColWidth="8.83203125" defaultRowHeight="15" x14ac:dyDescent="0.2"/>
  <cols>
    <col min="1" max="1" width="12" customWidth="1"/>
    <col min="2" max="2" width="25" customWidth="1"/>
    <col min="3" max="3" width="35" customWidth="1"/>
    <col min="4" max="5" width="25" customWidth="1"/>
    <col min="6" max="6" width="40" customWidth="1"/>
    <col min="7" max="7" width="20" customWidth="1"/>
    <col min="8" max="9" width="25" customWidth="1"/>
    <col min="10" max="10" width="10" style="11" customWidth="1"/>
    <col min="11" max="11" width="20" customWidth="1"/>
    <col min="12" max="12" width="12" customWidth="1"/>
  </cols>
  <sheetData>
    <row r="1" spans="1:12" ht="19" x14ac:dyDescent="0.2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">
      <c r="A2" s="6" t="s">
        <v>180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ht="16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2" ht="80" customHeight="1" x14ac:dyDescent="0.2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10" t="s">
        <v>177</v>
      </c>
      <c r="K5" s="12" t="s">
        <v>178</v>
      </c>
      <c r="L5" s="13">
        <v>46003</v>
      </c>
    </row>
    <row r="6" spans="1:12" ht="80" customHeight="1" x14ac:dyDescent="0.2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  <c r="J6" s="10" t="s">
        <v>177</v>
      </c>
      <c r="K6" s="12" t="s">
        <v>178</v>
      </c>
      <c r="L6" s="13">
        <v>46003</v>
      </c>
    </row>
    <row r="7" spans="1:12" ht="80" customHeight="1" x14ac:dyDescent="0.2">
      <c r="A7" s="2" t="s">
        <v>31</v>
      </c>
      <c r="B7" s="2" t="s">
        <v>32</v>
      </c>
      <c r="C7" s="2" t="s">
        <v>33</v>
      </c>
      <c r="D7" s="2" t="s">
        <v>34</v>
      </c>
      <c r="E7" s="2" t="s">
        <v>26</v>
      </c>
      <c r="F7" s="2" t="s">
        <v>35</v>
      </c>
      <c r="G7" s="2" t="s">
        <v>36</v>
      </c>
      <c r="H7" s="2" t="s">
        <v>37</v>
      </c>
      <c r="I7" s="2" t="s">
        <v>38</v>
      </c>
      <c r="J7" s="10" t="s">
        <v>177</v>
      </c>
      <c r="K7" s="12" t="s">
        <v>178</v>
      </c>
      <c r="L7" s="13">
        <v>46003</v>
      </c>
    </row>
    <row r="8" spans="1:12" ht="80" customHeight="1" x14ac:dyDescent="0.2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46</v>
      </c>
      <c r="I8" s="2" t="s">
        <v>47</v>
      </c>
      <c r="J8" s="10" t="s">
        <v>177</v>
      </c>
      <c r="K8" s="12" t="s">
        <v>178</v>
      </c>
      <c r="L8" s="13">
        <v>46003</v>
      </c>
    </row>
    <row r="9" spans="1:12" ht="80" customHeight="1" x14ac:dyDescent="0.2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55</v>
      </c>
      <c r="I9" s="2" t="s">
        <v>56</v>
      </c>
      <c r="J9" s="10" t="s">
        <v>177</v>
      </c>
      <c r="K9" s="12" t="s">
        <v>178</v>
      </c>
      <c r="L9" s="13">
        <v>46003</v>
      </c>
    </row>
    <row r="10" spans="1:12" ht="80" customHeight="1" x14ac:dyDescent="0.2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64</v>
      </c>
      <c r="I10" s="2" t="s">
        <v>65</v>
      </c>
      <c r="J10" s="10" t="s">
        <v>177</v>
      </c>
      <c r="K10" s="12" t="s">
        <v>178</v>
      </c>
      <c r="L10" s="13">
        <v>46003</v>
      </c>
    </row>
    <row r="11" spans="1:12" ht="80" customHeight="1" x14ac:dyDescent="0.2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72</v>
      </c>
      <c r="H11" s="2" t="s">
        <v>73</v>
      </c>
      <c r="I11" s="2" t="s">
        <v>74</v>
      </c>
      <c r="J11" s="10" t="s">
        <v>177</v>
      </c>
      <c r="K11" s="12" t="s">
        <v>178</v>
      </c>
      <c r="L11" s="13">
        <v>46003</v>
      </c>
    </row>
    <row r="12" spans="1:12" ht="80" customHeight="1" x14ac:dyDescent="0.2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81</v>
      </c>
      <c r="H12" s="2" t="s">
        <v>82</v>
      </c>
      <c r="I12" s="2" t="s">
        <v>83</v>
      </c>
      <c r="J12" s="10" t="s">
        <v>177</v>
      </c>
      <c r="K12" s="12" t="s">
        <v>178</v>
      </c>
      <c r="L12" s="13">
        <v>46003</v>
      </c>
    </row>
    <row r="13" spans="1:12" ht="80" customHeight="1" x14ac:dyDescent="0.2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92</v>
      </c>
      <c r="J13" s="10" t="s">
        <v>177</v>
      </c>
      <c r="K13" s="12" t="s">
        <v>178</v>
      </c>
      <c r="L13" s="13">
        <v>46003</v>
      </c>
    </row>
    <row r="14" spans="1:12" ht="80" customHeight="1" x14ac:dyDescent="0.2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97</v>
      </c>
      <c r="F14" s="2" t="s">
        <v>98</v>
      </c>
      <c r="G14" s="2" t="s">
        <v>99</v>
      </c>
      <c r="H14" s="2" t="s">
        <v>100</v>
      </c>
      <c r="I14" s="2" t="s">
        <v>101</v>
      </c>
      <c r="J14" s="10" t="s">
        <v>177</v>
      </c>
      <c r="K14" s="12" t="s">
        <v>178</v>
      </c>
      <c r="L14" s="13">
        <v>46003</v>
      </c>
    </row>
    <row r="15" spans="1:12" ht="80" customHeight="1" x14ac:dyDescent="0.2">
      <c r="A15" s="2" t="s">
        <v>102</v>
      </c>
      <c r="B15" s="2" t="s">
        <v>103</v>
      </c>
      <c r="C15" s="2" t="s">
        <v>104</v>
      </c>
      <c r="D15" s="2" t="s">
        <v>105</v>
      </c>
      <c r="E15" s="2" t="s">
        <v>106</v>
      </c>
      <c r="F15" s="2" t="s">
        <v>107</v>
      </c>
      <c r="G15" s="2" t="s">
        <v>108</v>
      </c>
      <c r="H15" s="2" t="s">
        <v>109</v>
      </c>
      <c r="I15" s="2" t="s">
        <v>110</v>
      </c>
      <c r="J15" s="10" t="s">
        <v>177</v>
      </c>
      <c r="K15" s="12" t="s">
        <v>178</v>
      </c>
      <c r="L15" s="13">
        <v>46003</v>
      </c>
    </row>
    <row r="16" spans="1:12" ht="80" customHeight="1" x14ac:dyDescent="0.2">
      <c r="A16" s="2" t="s">
        <v>111</v>
      </c>
      <c r="B16" s="2" t="s">
        <v>112</v>
      </c>
      <c r="C16" s="2" t="s">
        <v>113</v>
      </c>
      <c r="D16" s="2" t="s">
        <v>114</v>
      </c>
      <c r="E16" s="2" t="s">
        <v>115</v>
      </c>
      <c r="F16" s="2" t="s">
        <v>116</v>
      </c>
      <c r="G16" s="2" t="s">
        <v>117</v>
      </c>
      <c r="H16" s="2" t="s">
        <v>118</v>
      </c>
      <c r="I16" s="2" t="s">
        <v>119</v>
      </c>
      <c r="J16" s="10" t="s">
        <v>177</v>
      </c>
      <c r="K16" s="12" t="s">
        <v>178</v>
      </c>
      <c r="L16" s="13">
        <v>46003</v>
      </c>
    </row>
    <row r="17" spans="1:12" ht="80" customHeight="1" x14ac:dyDescent="0.2">
      <c r="A17" s="2" t="s">
        <v>120</v>
      </c>
      <c r="B17" s="2" t="s">
        <v>121</v>
      </c>
      <c r="C17" s="2" t="s">
        <v>122</v>
      </c>
      <c r="D17" s="2" t="s">
        <v>123</v>
      </c>
      <c r="E17" s="2" t="s">
        <v>124</v>
      </c>
      <c r="F17" s="2" t="s">
        <v>125</v>
      </c>
      <c r="G17" s="2" t="s">
        <v>126</v>
      </c>
      <c r="H17" s="2" t="s">
        <v>127</v>
      </c>
      <c r="I17" s="2" t="s">
        <v>128</v>
      </c>
      <c r="J17" s="10" t="s">
        <v>177</v>
      </c>
      <c r="K17" s="12" t="s">
        <v>178</v>
      </c>
      <c r="L17" s="13">
        <v>46003</v>
      </c>
    </row>
    <row r="18" spans="1:12" ht="80" customHeight="1" x14ac:dyDescent="0.2">
      <c r="A18" s="2" t="s">
        <v>129</v>
      </c>
      <c r="B18" s="2" t="s">
        <v>130</v>
      </c>
      <c r="C18" s="2" t="s">
        <v>131</v>
      </c>
      <c r="D18" s="2" t="s">
        <v>132</v>
      </c>
      <c r="E18" s="2" t="s">
        <v>133</v>
      </c>
      <c r="F18" s="2" t="s">
        <v>134</v>
      </c>
      <c r="G18" s="2" t="s">
        <v>135</v>
      </c>
      <c r="H18" s="2" t="s">
        <v>136</v>
      </c>
      <c r="I18" s="2" t="s">
        <v>137</v>
      </c>
      <c r="J18" s="10" t="s">
        <v>177</v>
      </c>
      <c r="K18" s="12" t="s">
        <v>178</v>
      </c>
      <c r="L18" s="13">
        <v>46003</v>
      </c>
    </row>
    <row r="19" spans="1:12" ht="80" customHeight="1" x14ac:dyDescent="0.2">
      <c r="A19" s="2" t="s">
        <v>138</v>
      </c>
      <c r="B19" s="2" t="s">
        <v>139</v>
      </c>
      <c r="C19" s="2" t="s">
        <v>140</v>
      </c>
      <c r="D19" s="2" t="s">
        <v>141</v>
      </c>
      <c r="E19" s="2" t="s">
        <v>142</v>
      </c>
      <c r="F19" s="2" t="s">
        <v>143</v>
      </c>
      <c r="G19" s="2" t="s">
        <v>144</v>
      </c>
      <c r="H19" s="2" t="s">
        <v>145</v>
      </c>
      <c r="I19" s="2" t="s">
        <v>146</v>
      </c>
      <c r="J19" s="10" t="s">
        <v>177</v>
      </c>
      <c r="K19" s="12" t="s">
        <v>178</v>
      </c>
      <c r="L19" s="13">
        <v>46003</v>
      </c>
    </row>
    <row r="20" spans="1:12" ht="80" customHeight="1" x14ac:dyDescent="0.2">
      <c r="A20" s="2" t="s">
        <v>147</v>
      </c>
      <c r="B20" s="2" t="s">
        <v>148</v>
      </c>
      <c r="C20" s="2" t="s">
        <v>149</v>
      </c>
      <c r="D20" s="2" t="s">
        <v>150</v>
      </c>
      <c r="E20" s="2" t="s">
        <v>151</v>
      </c>
      <c r="F20" s="2" t="s">
        <v>152</v>
      </c>
      <c r="G20" s="2" t="s">
        <v>153</v>
      </c>
      <c r="H20" s="2" t="s">
        <v>154</v>
      </c>
      <c r="I20" s="2" t="s">
        <v>155</v>
      </c>
      <c r="J20" s="10" t="s">
        <v>177</v>
      </c>
      <c r="K20" s="12" t="s">
        <v>179</v>
      </c>
      <c r="L20" s="13">
        <v>46003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1" max="4" width="25" customWidth="1"/>
  </cols>
  <sheetData>
    <row r="1" spans="1:4" ht="19" x14ac:dyDescent="0.25">
      <c r="A1" s="9" t="s">
        <v>156</v>
      </c>
      <c r="B1" s="7"/>
      <c r="C1" s="7"/>
      <c r="D1" s="7"/>
    </row>
    <row r="3" spans="1:4" x14ac:dyDescent="0.2">
      <c r="A3" s="3" t="s">
        <v>157</v>
      </c>
      <c r="B3" s="3" t="s">
        <v>158</v>
      </c>
      <c r="C3" s="3" t="s">
        <v>159</v>
      </c>
      <c r="D3" s="3" t="s">
        <v>11</v>
      </c>
    </row>
    <row r="4" spans="1:4" x14ac:dyDescent="0.2">
      <c r="A4" s="4" t="s">
        <v>160</v>
      </c>
      <c r="B4" s="4">
        <v>3</v>
      </c>
      <c r="C4" s="4" t="s">
        <v>177</v>
      </c>
      <c r="D4" s="4" t="s">
        <v>161</v>
      </c>
    </row>
    <row r="5" spans="1:4" x14ac:dyDescent="0.2">
      <c r="A5" s="4" t="s">
        <v>162</v>
      </c>
      <c r="B5" s="4">
        <v>2</v>
      </c>
      <c r="C5" s="4" t="s">
        <v>177</v>
      </c>
      <c r="D5" s="4" t="s">
        <v>163</v>
      </c>
    </row>
    <row r="6" spans="1:4" x14ac:dyDescent="0.2">
      <c r="A6" s="4" t="s">
        <v>164</v>
      </c>
      <c r="B6" s="4">
        <v>3</v>
      </c>
      <c r="C6" s="4" t="s">
        <v>177</v>
      </c>
      <c r="D6" s="4" t="s">
        <v>165</v>
      </c>
    </row>
    <row r="7" spans="1:4" x14ac:dyDescent="0.2">
      <c r="A7" s="4" t="s">
        <v>166</v>
      </c>
      <c r="B7" s="4">
        <v>2</v>
      </c>
      <c r="C7" s="4" t="s">
        <v>177</v>
      </c>
      <c r="D7" s="4" t="s">
        <v>167</v>
      </c>
    </row>
    <row r="8" spans="1:4" x14ac:dyDescent="0.2">
      <c r="A8" s="4" t="s">
        <v>168</v>
      </c>
      <c r="B8" s="4">
        <v>2</v>
      </c>
      <c r="C8" s="4" t="s">
        <v>177</v>
      </c>
      <c r="D8" s="4" t="s">
        <v>169</v>
      </c>
    </row>
    <row r="9" spans="1:4" x14ac:dyDescent="0.2">
      <c r="A9" s="4" t="s">
        <v>170</v>
      </c>
      <c r="B9" s="4">
        <v>2</v>
      </c>
      <c r="C9" s="4" t="s">
        <v>177</v>
      </c>
      <c r="D9" s="4" t="s">
        <v>171</v>
      </c>
    </row>
    <row r="10" spans="1:4" x14ac:dyDescent="0.2">
      <c r="A10" s="4" t="s">
        <v>172</v>
      </c>
      <c r="B10" s="4">
        <v>1</v>
      </c>
      <c r="C10" s="4" t="s">
        <v>177</v>
      </c>
      <c r="D10" s="4" t="s">
        <v>173</v>
      </c>
    </row>
    <row r="11" spans="1:4" x14ac:dyDescent="0.2">
      <c r="A11" s="4" t="s">
        <v>174</v>
      </c>
      <c r="B11" s="4">
        <v>1</v>
      </c>
      <c r="C11" s="4" t="s">
        <v>177</v>
      </c>
      <c r="D11" s="4" t="s">
        <v>175</v>
      </c>
    </row>
    <row r="12" spans="1:4" x14ac:dyDescent="0.2">
      <c r="A12" s="5" t="s">
        <v>176</v>
      </c>
      <c r="B12" s="5">
        <f>SUM(B4:B11)</f>
        <v>16</v>
      </c>
      <c r="C12" s="4" t="s">
        <v>177</v>
      </c>
      <c r="D12" s="5"/>
    </row>
  </sheetData>
  <mergeCells count="1">
    <mergeCell ref="A1:D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515E1E2CF8004C99C95607B9652EE2" ma:contentTypeVersion="3" ma:contentTypeDescription="Crée un document." ma:contentTypeScope="" ma:versionID="084f4a7ec9dcaa2bb00e9bf849c8b8c0">
  <xsd:schema xmlns:xsd="http://www.w3.org/2001/XMLSchema" xmlns:xs="http://www.w3.org/2001/XMLSchema" xmlns:p="http://schemas.microsoft.com/office/2006/metadata/properties" xmlns:ns2="8d516c02-b9f1-42d8-97df-19f84f27208b" targetNamespace="http://schemas.microsoft.com/office/2006/metadata/properties" ma:root="true" ma:fieldsID="7054e435ea20f94c9eab621631aa2029" ns2:_="">
    <xsd:import namespace="8d516c02-b9f1-42d8-97df-19f84f2720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16c02-b9f1-42d8-97df-19f84f2720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895B10-8624-4404-B374-AE474F696925}"/>
</file>

<file path=customXml/itemProps2.xml><?xml version="1.0" encoding="utf-8"?>
<ds:datastoreItem xmlns:ds="http://schemas.openxmlformats.org/officeDocument/2006/customXml" ds:itemID="{C9A9221D-ABD2-488D-8279-E8D112EF8E51}"/>
</file>

<file path=customXml/itemProps3.xml><?xml version="1.0" encoding="utf-8"?>
<ds:datastoreItem xmlns:ds="http://schemas.openxmlformats.org/officeDocument/2006/customXml" ds:itemID="{EA2702F0-EF6F-48F1-864A-F960E6D1C5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Tests Integration</vt:lpstr>
      <vt:lpstr>Synthèse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Lorigeon</cp:lastModifiedBy>
  <dcterms:created xsi:type="dcterms:W3CDTF">2026-01-27T09:37:09Z</dcterms:created>
  <dcterms:modified xsi:type="dcterms:W3CDTF">2026-01-28T18:00:26Z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0x0101007E515E1E2CF8004C99C95607B9652EE2</vt:lpwstr>
  </property>
</Properties>
</file>