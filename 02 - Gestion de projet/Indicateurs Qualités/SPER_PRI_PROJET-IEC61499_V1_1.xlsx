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toursfr-my.sharepoint.com/personal/damien_lorigeon_etu_univ-tours_fr/Documents/DAMIEN LORIGEON/DL_FOLDER/ÉCOLE/POLYTECH/5A/PRI/PRI-IEC61499-UniversalAutomation/02 - Gestion de projet/Indicateurs Qualités/"/>
    </mc:Choice>
  </mc:AlternateContent>
  <xr:revisionPtr revIDLastSave="82" documentId="8_{63853406-2002-F345-B072-7F0446FA5F13}" xr6:coauthVersionLast="47" xr6:coauthVersionMax="47" xr10:uidLastSave="{4EB62632-42D1-054C-B4D1-EA7CDD613679}"/>
  <bookViews>
    <workbookView xWindow="1340" yWindow="620" windowWidth="25820" windowHeight="15740" xr2:uid="{00000000-000D-0000-FFFF-FFFF00000000}"/>
  </bookViews>
  <sheets>
    <sheet name="Synthèse" sheetId="6" r:id="rId1"/>
    <sheet name="Septembre" sheetId="13" r:id="rId2"/>
    <sheet name="Octobre" sheetId="14" r:id="rId3"/>
    <sheet name="Novembre" sheetId="2" r:id="rId4"/>
    <sheet name="Décembre" sheetId="3" r:id="rId5"/>
    <sheet name="Janvier" sheetId="4" r:id="rId6"/>
    <sheet name="Février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8" i="3"/>
  <c r="J9" i="3"/>
  <c r="J10" i="3"/>
  <c r="J11" i="3"/>
  <c r="J12" i="3"/>
  <c r="J13" i="3"/>
  <c r="J14" i="3"/>
  <c r="J15" i="3"/>
  <c r="J16" i="3"/>
  <c r="K16" i="3" s="1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2" i="3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K16" i="2" s="1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8" i="7"/>
  <c r="K28" i="7" s="1"/>
  <c r="J6" i="7"/>
  <c r="J7" i="7"/>
  <c r="K7" i="7" s="1"/>
  <c r="J8" i="7"/>
  <c r="K8" i="7" s="1"/>
  <c r="J9" i="7"/>
  <c r="K9" i="7" s="1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K16" i="13" s="1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2" i="13"/>
  <c r="J31" i="7"/>
  <c r="J30" i="7"/>
  <c r="J29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4" i="7"/>
  <c r="J13" i="7"/>
  <c r="J12" i="7"/>
  <c r="J11" i="7"/>
  <c r="J10" i="7"/>
  <c r="J5" i="7"/>
  <c r="J4" i="7"/>
  <c r="J3" i="7"/>
  <c r="J2" i="7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K16" i="4" s="1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C37" i="4"/>
  <c r="C37" i="3"/>
  <c r="C37" i="2"/>
  <c r="F16" i="13"/>
  <c r="F15" i="14" s="1"/>
  <c r="J15" i="14"/>
  <c r="K15" i="14" s="1"/>
  <c r="K6" i="7" l="1"/>
  <c r="G16" i="13"/>
  <c r="H16" i="13" s="1"/>
  <c r="I16" i="13" s="1"/>
  <c r="G15" i="14"/>
  <c r="H15" i="14" s="1"/>
  <c r="L15" i="14" s="1"/>
  <c r="K16" i="7"/>
  <c r="M16" i="13"/>
  <c r="M15" i="14"/>
  <c r="I15" i="14" l="1"/>
  <c r="L16" i="13"/>
  <c r="J2" i="14"/>
  <c r="K2" i="14" s="1"/>
  <c r="J3" i="14"/>
  <c r="K3" i="14" s="1"/>
  <c r="J4" i="14"/>
  <c r="K4" i="14" s="1"/>
  <c r="J5" i="14"/>
  <c r="K5" i="14" s="1"/>
  <c r="J6" i="14"/>
  <c r="K6" i="14" s="1"/>
  <c r="J7" i="14"/>
  <c r="K7" i="14" s="1"/>
  <c r="J8" i="14"/>
  <c r="K8" i="14" s="1"/>
  <c r="J9" i="14"/>
  <c r="K9" i="14" s="1"/>
  <c r="J10" i="14"/>
  <c r="K10" i="14" s="1"/>
  <c r="J11" i="14"/>
  <c r="K11" i="14" s="1"/>
  <c r="J12" i="14"/>
  <c r="K12" i="14" s="1"/>
  <c r="J13" i="14"/>
  <c r="K13" i="14" s="1"/>
  <c r="J14" i="14"/>
  <c r="K14" i="14" s="1"/>
  <c r="J16" i="14"/>
  <c r="K16" i="14" s="1"/>
  <c r="J17" i="14"/>
  <c r="K17" i="14" s="1"/>
  <c r="J18" i="14"/>
  <c r="K18" i="14" s="1"/>
  <c r="J19" i="14"/>
  <c r="K19" i="14" s="1"/>
  <c r="J20" i="14"/>
  <c r="K20" i="14" s="1"/>
  <c r="J21" i="14"/>
  <c r="K21" i="14" s="1"/>
  <c r="J22" i="14"/>
  <c r="K22" i="14" s="1"/>
  <c r="J23" i="14"/>
  <c r="K23" i="14" s="1"/>
  <c r="J24" i="14"/>
  <c r="K24" i="14" s="1"/>
  <c r="J25" i="14"/>
  <c r="K25" i="14" s="1"/>
  <c r="J26" i="14"/>
  <c r="K26" i="14" s="1"/>
  <c r="J27" i="14"/>
  <c r="K27" i="14" s="1"/>
  <c r="J28" i="14"/>
  <c r="K28" i="14" s="1"/>
  <c r="J29" i="14"/>
  <c r="K29" i="14" s="1"/>
  <c r="J30" i="14"/>
  <c r="K30" i="14" s="1"/>
  <c r="J31" i="14"/>
  <c r="K31" i="14" s="1"/>
  <c r="C37" i="14"/>
  <c r="D32" i="14"/>
  <c r="E32" i="14"/>
  <c r="C37" i="13"/>
  <c r="K9" i="13"/>
  <c r="K10" i="13"/>
  <c r="K22" i="13"/>
  <c r="F9" i="13"/>
  <c r="F8" i="14" s="1"/>
  <c r="F10" i="13"/>
  <c r="F11" i="13"/>
  <c r="F10" i="14" s="1"/>
  <c r="F12" i="13"/>
  <c r="F11" i="14" s="1"/>
  <c r="G9" i="13" l="1"/>
  <c r="G12" i="13"/>
  <c r="H12" i="13" s="1"/>
  <c r="I12" i="13" s="1"/>
  <c r="M12" i="13"/>
  <c r="M11" i="13"/>
  <c r="G11" i="13"/>
  <c r="H11" i="13" s="1"/>
  <c r="I11" i="13" s="1"/>
  <c r="G11" i="14"/>
  <c r="H11" i="14" s="1"/>
  <c r="M11" i="14"/>
  <c r="M8" i="14"/>
  <c r="G8" i="14"/>
  <c r="H8" i="14" s="1"/>
  <c r="G10" i="13"/>
  <c r="H10" i="13" s="1"/>
  <c r="I10" i="13" s="1"/>
  <c r="F9" i="14"/>
  <c r="M10" i="14"/>
  <c r="G10" i="14"/>
  <c r="H10" i="14" s="1"/>
  <c r="C38" i="4"/>
  <c r="C40" i="7"/>
  <c r="C38" i="3"/>
  <c r="C38" i="2"/>
  <c r="C38" i="14"/>
  <c r="H9" i="13"/>
  <c r="I9" i="13" s="1"/>
  <c r="J32" i="14"/>
  <c r="K12" i="13"/>
  <c r="K11" i="13"/>
  <c r="M10" i="13"/>
  <c r="M9" i="13"/>
  <c r="L12" i="13" l="1"/>
  <c r="L11" i="13"/>
  <c r="I10" i="14"/>
  <c r="L10" i="14"/>
  <c r="G9" i="14"/>
  <c r="H9" i="14" s="1"/>
  <c r="M9" i="14"/>
  <c r="L9" i="13"/>
  <c r="L10" i="13"/>
  <c r="L11" i="14"/>
  <c r="I11" i="14"/>
  <c r="L8" i="14"/>
  <c r="I8" i="14"/>
  <c r="K32" i="14"/>
  <c r="K20" i="13"/>
  <c r="F20" i="13"/>
  <c r="L9" i="14" l="1"/>
  <c r="I9" i="14"/>
  <c r="G20" i="13"/>
  <c r="H20" i="13" s="1"/>
  <c r="I20" i="13" s="1"/>
  <c r="M20" i="13"/>
  <c r="E32" i="7"/>
  <c r="D32" i="7"/>
  <c r="E32" i="4"/>
  <c r="D32" i="4"/>
  <c r="E32" i="3"/>
  <c r="D32" i="3"/>
  <c r="K30" i="3"/>
  <c r="K28" i="3"/>
  <c r="K26" i="3"/>
  <c r="K17" i="3"/>
  <c r="K15" i="3"/>
  <c r="K6" i="3"/>
  <c r="K2" i="3"/>
  <c r="E32" i="2"/>
  <c r="D32" i="2"/>
  <c r="L20" i="13" l="1"/>
  <c r="K2" i="7"/>
  <c r="K3" i="7"/>
  <c r="K4" i="7"/>
  <c r="K5" i="7"/>
  <c r="K10" i="7"/>
  <c r="K11" i="7"/>
  <c r="K12" i="7"/>
  <c r="K13" i="7"/>
  <c r="K14" i="7"/>
  <c r="K15" i="7"/>
  <c r="K17" i="7"/>
  <c r="K18" i="7"/>
  <c r="K19" i="7"/>
  <c r="K20" i="7"/>
  <c r="K21" i="7"/>
  <c r="K22" i="7"/>
  <c r="K23" i="7"/>
  <c r="K24" i="7"/>
  <c r="K25" i="7"/>
  <c r="K26" i="7"/>
  <c r="K27" i="7"/>
  <c r="K29" i="7"/>
  <c r="K30" i="7"/>
  <c r="K31" i="7"/>
  <c r="J32" i="7"/>
  <c r="K21" i="4"/>
  <c r="K18" i="4"/>
  <c r="K26" i="4"/>
  <c r="K29" i="4"/>
  <c r="K4" i="4"/>
  <c r="K8" i="4"/>
  <c r="K14" i="4"/>
  <c r="K23" i="4"/>
  <c r="K31" i="4"/>
  <c r="K11" i="4"/>
  <c r="K20" i="4"/>
  <c r="K28" i="4"/>
  <c r="K5" i="4"/>
  <c r="K3" i="4"/>
  <c r="K17" i="4"/>
  <c r="K25" i="4"/>
  <c r="K7" i="4"/>
  <c r="K13" i="4"/>
  <c r="K22" i="4"/>
  <c r="K30" i="4"/>
  <c r="K9" i="4"/>
  <c r="J32" i="4"/>
  <c r="K2" i="4"/>
  <c r="K19" i="4"/>
  <c r="K27" i="4"/>
  <c r="K12" i="4"/>
  <c r="K6" i="4"/>
  <c r="K10" i="4"/>
  <c r="K15" i="4"/>
  <c r="K24" i="4"/>
  <c r="K3" i="3"/>
  <c r="K7" i="3"/>
  <c r="K13" i="3"/>
  <c r="K22" i="3"/>
  <c r="K24" i="3"/>
  <c r="J32" i="3"/>
  <c r="K10" i="3"/>
  <c r="K19" i="3"/>
  <c r="K12" i="3"/>
  <c r="K21" i="3"/>
  <c r="K5" i="3"/>
  <c r="K9" i="3"/>
  <c r="K18" i="3"/>
  <c r="K23" i="3"/>
  <c r="K25" i="3"/>
  <c r="K27" i="3"/>
  <c r="K29" i="3"/>
  <c r="K31" i="3"/>
  <c r="K14" i="3"/>
  <c r="K4" i="3"/>
  <c r="K8" i="3"/>
  <c r="K11" i="3"/>
  <c r="K20" i="3"/>
  <c r="K3" i="2"/>
  <c r="K15" i="2"/>
  <c r="J32" i="2"/>
  <c r="K2" i="2"/>
  <c r="K6" i="2"/>
  <c r="K10" i="2"/>
  <c r="K14" i="2"/>
  <c r="K19" i="2"/>
  <c r="K23" i="2"/>
  <c r="K27" i="2"/>
  <c r="K31" i="2"/>
  <c r="K11" i="2"/>
  <c r="K20" i="2"/>
  <c r="K13" i="2"/>
  <c r="K7" i="2"/>
  <c r="K24" i="2"/>
  <c r="K5" i="2"/>
  <c r="K22" i="2"/>
  <c r="K30" i="2"/>
  <c r="K18" i="2"/>
  <c r="K4" i="2"/>
  <c r="K8" i="2"/>
  <c r="K12" i="2"/>
  <c r="K17" i="2"/>
  <c r="K21" i="2"/>
  <c r="K25" i="2"/>
  <c r="K29" i="2"/>
  <c r="K28" i="2"/>
  <c r="K9" i="2"/>
  <c r="K26" i="2"/>
  <c r="K2" i="13"/>
  <c r="K3" i="13"/>
  <c r="K4" i="13"/>
  <c r="K5" i="13"/>
  <c r="K6" i="13"/>
  <c r="K7" i="13"/>
  <c r="K8" i="13"/>
  <c r="K13" i="13"/>
  <c r="K14" i="13"/>
  <c r="K15" i="13"/>
  <c r="K17" i="13"/>
  <c r="K18" i="13"/>
  <c r="K19" i="13"/>
  <c r="K21" i="13"/>
  <c r="K23" i="13"/>
  <c r="K24" i="13"/>
  <c r="K25" i="13"/>
  <c r="K26" i="13"/>
  <c r="K27" i="13"/>
  <c r="K28" i="13"/>
  <c r="K29" i="13"/>
  <c r="K30" i="13"/>
  <c r="K31" i="13"/>
  <c r="F18" i="13"/>
  <c r="F13" i="13"/>
  <c r="F12" i="14" s="1"/>
  <c r="F7" i="13"/>
  <c r="F6" i="14" s="1"/>
  <c r="F4" i="13"/>
  <c r="F2" i="13"/>
  <c r="F5" i="13"/>
  <c r="F6" i="13"/>
  <c r="F5" i="14" s="1"/>
  <c r="F8" i="13"/>
  <c r="F7" i="14" s="1"/>
  <c r="F14" i="13"/>
  <c r="F13" i="14" s="1"/>
  <c r="F15" i="13"/>
  <c r="F14" i="14" s="1"/>
  <c r="F17" i="13"/>
  <c r="F19" i="13"/>
  <c r="F21" i="13"/>
  <c r="F19" i="14" s="1"/>
  <c r="F22" i="13"/>
  <c r="F23" i="13"/>
  <c r="F21" i="14" s="1"/>
  <c r="F24" i="13"/>
  <c r="F25" i="13"/>
  <c r="F26" i="13"/>
  <c r="F27" i="13"/>
  <c r="F28" i="13"/>
  <c r="F29" i="13"/>
  <c r="F27" i="14" s="1"/>
  <c r="F30" i="13"/>
  <c r="F31" i="13"/>
  <c r="F29" i="14" s="1"/>
  <c r="F3" i="13"/>
  <c r="F2" i="14" s="1"/>
  <c r="F4" i="14" l="1"/>
  <c r="F3" i="14"/>
  <c r="F16" i="14"/>
  <c r="F16" i="2" s="1"/>
  <c r="F31" i="14"/>
  <c r="G31" i="14" s="1"/>
  <c r="H31" i="14" s="1"/>
  <c r="F23" i="14"/>
  <c r="G23" i="14" s="1"/>
  <c r="H23" i="14" s="1"/>
  <c r="F26" i="14"/>
  <c r="M26" i="14" s="1"/>
  <c r="F24" i="14"/>
  <c r="G24" i="14" s="1"/>
  <c r="H24" i="14" s="1"/>
  <c r="F28" i="14"/>
  <c r="G28" i="14" s="1"/>
  <c r="H28" i="14" s="1"/>
  <c r="F20" i="14"/>
  <c r="M20" i="14" s="1"/>
  <c r="F25" i="14"/>
  <c r="M25" i="14" s="1"/>
  <c r="F30" i="14"/>
  <c r="G30" i="14" s="1"/>
  <c r="H30" i="14" s="1"/>
  <c r="F22" i="14"/>
  <c r="M22" i="14" s="1"/>
  <c r="F17" i="14"/>
  <c r="M17" i="14" s="1"/>
  <c r="F18" i="14"/>
  <c r="G21" i="14"/>
  <c r="H21" i="14" s="1"/>
  <c r="M21" i="14"/>
  <c r="G4" i="14"/>
  <c r="H4" i="14" s="1"/>
  <c r="M4" i="14"/>
  <c r="M16" i="14"/>
  <c r="G16" i="14"/>
  <c r="H16" i="14" s="1"/>
  <c r="G19" i="14"/>
  <c r="H19" i="14" s="1"/>
  <c r="M19" i="14"/>
  <c r="M13" i="14"/>
  <c r="G13" i="14"/>
  <c r="H13" i="14" s="1"/>
  <c r="G2" i="14"/>
  <c r="H2" i="14" s="1"/>
  <c r="M2" i="14"/>
  <c r="M7" i="14"/>
  <c r="G7" i="14"/>
  <c r="H7" i="14" s="1"/>
  <c r="M5" i="14"/>
  <c r="G5" i="14"/>
  <c r="H5" i="14" s="1"/>
  <c r="M27" i="14"/>
  <c r="G27" i="14"/>
  <c r="H27" i="14" s="1"/>
  <c r="M3" i="14"/>
  <c r="G3" i="14"/>
  <c r="H3" i="14" s="1"/>
  <c r="M6" i="14"/>
  <c r="G6" i="14"/>
  <c r="H6" i="14" s="1"/>
  <c r="G14" i="14"/>
  <c r="H14" i="14" s="1"/>
  <c r="M14" i="14"/>
  <c r="G29" i="14"/>
  <c r="H29" i="14" s="1"/>
  <c r="M29" i="14"/>
  <c r="G12" i="14"/>
  <c r="H12" i="14" s="1"/>
  <c r="M12" i="14"/>
  <c r="G3" i="13"/>
  <c r="H3" i="13" s="1"/>
  <c r="L3" i="13" s="1"/>
  <c r="C38" i="13"/>
  <c r="G26" i="13"/>
  <c r="H26" i="13" s="1"/>
  <c r="L26" i="13" s="1"/>
  <c r="G24" i="13"/>
  <c r="H24" i="13" s="1"/>
  <c r="L24" i="13" s="1"/>
  <c r="G18" i="13"/>
  <c r="H18" i="13" s="1"/>
  <c r="L18" i="13" s="1"/>
  <c r="G17" i="13"/>
  <c r="H17" i="13" s="1"/>
  <c r="L17" i="13" s="1"/>
  <c r="M15" i="13"/>
  <c r="G19" i="13"/>
  <c r="H19" i="13" s="1"/>
  <c r="L19" i="13" s="1"/>
  <c r="G7" i="13"/>
  <c r="H7" i="13" s="1"/>
  <c r="I7" i="13" s="1"/>
  <c r="K32" i="4"/>
  <c r="K32" i="3"/>
  <c r="G2" i="13"/>
  <c r="H2" i="13" s="1"/>
  <c r="I2" i="13" s="1"/>
  <c r="M25" i="13"/>
  <c r="K32" i="7"/>
  <c r="K32" i="2"/>
  <c r="M4" i="13"/>
  <c r="M5" i="13"/>
  <c r="M27" i="13"/>
  <c r="M30" i="13"/>
  <c r="M22" i="13"/>
  <c r="M6" i="13"/>
  <c r="M14" i="13"/>
  <c r="M8" i="13"/>
  <c r="G15" i="13"/>
  <c r="H15" i="13" s="1"/>
  <c r="I15" i="13" s="1"/>
  <c r="M18" i="13"/>
  <c r="M21" i="13"/>
  <c r="M28" i="13"/>
  <c r="M31" i="13"/>
  <c r="M23" i="13"/>
  <c r="G13" i="13"/>
  <c r="H13" i="13" s="1"/>
  <c r="M13" i="13"/>
  <c r="M26" i="13"/>
  <c r="G25" i="13"/>
  <c r="H25" i="13" s="1"/>
  <c r="L25" i="13" s="1"/>
  <c r="G14" i="13"/>
  <c r="H14" i="13" s="1"/>
  <c r="I14" i="13" s="1"/>
  <c r="M2" i="13"/>
  <c r="M24" i="13"/>
  <c r="M7" i="13"/>
  <c r="G4" i="13"/>
  <c r="H4" i="13" s="1"/>
  <c r="I4" i="13" s="1"/>
  <c r="G27" i="13"/>
  <c r="H27" i="13" s="1"/>
  <c r="L27" i="13" s="1"/>
  <c r="M17" i="13"/>
  <c r="M3" i="13"/>
  <c r="M19" i="13"/>
  <c r="G29" i="13"/>
  <c r="H29" i="13" s="1"/>
  <c r="G28" i="13"/>
  <c r="H28" i="13" s="1"/>
  <c r="I28" i="13" s="1"/>
  <c r="M29" i="13"/>
  <c r="G8" i="13"/>
  <c r="H8" i="13" s="1"/>
  <c r="L8" i="13" s="1"/>
  <c r="G21" i="13"/>
  <c r="H21" i="13" s="1"/>
  <c r="G31" i="13"/>
  <c r="H31" i="13" s="1"/>
  <c r="I31" i="13" s="1"/>
  <c r="G23" i="13"/>
  <c r="H23" i="13" s="1"/>
  <c r="I23" i="13" s="1"/>
  <c r="G6" i="13"/>
  <c r="H6" i="13" s="1"/>
  <c r="I6" i="13" s="1"/>
  <c r="G30" i="13"/>
  <c r="H30" i="13" s="1"/>
  <c r="L30" i="13" s="1"/>
  <c r="G22" i="13"/>
  <c r="H22" i="13" s="1"/>
  <c r="L22" i="13" s="1"/>
  <c r="G5" i="13"/>
  <c r="H5" i="13" s="1"/>
  <c r="L5" i="13" s="1"/>
  <c r="G16" i="2" l="1"/>
  <c r="H16" i="2" s="1"/>
  <c r="M16" i="2"/>
  <c r="G20" i="14"/>
  <c r="H20" i="14" s="1"/>
  <c r="L20" i="14" s="1"/>
  <c r="G26" i="14"/>
  <c r="H26" i="14" s="1"/>
  <c r="L26" i="14" s="1"/>
  <c r="M24" i="14"/>
  <c r="M30" i="14"/>
  <c r="G22" i="14"/>
  <c r="H22" i="14" s="1"/>
  <c r="L22" i="14" s="1"/>
  <c r="M23" i="14"/>
  <c r="M31" i="14"/>
  <c r="G17" i="14"/>
  <c r="H17" i="14" s="1"/>
  <c r="I17" i="14" s="1"/>
  <c r="M28" i="14"/>
  <c r="G25" i="14"/>
  <c r="H25" i="14" s="1"/>
  <c r="G18" i="14"/>
  <c r="H18" i="14" s="1"/>
  <c r="M18" i="14"/>
  <c r="I31" i="14"/>
  <c r="L31" i="14"/>
  <c r="L30" i="14"/>
  <c r="I30" i="14"/>
  <c r="I20" i="14"/>
  <c r="L28" i="14"/>
  <c r="I28" i="14"/>
  <c r="I16" i="14"/>
  <c r="L16" i="14"/>
  <c r="I2" i="14"/>
  <c r="L2" i="14"/>
  <c r="L13" i="14"/>
  <c r="I13" i="14"/>
  <c r="L6" i="14"/>
  <c r="I6" i="14"/>
  <c r="L27" i="14"/>
  <c r="I27" i="14"/>
  <c r="L24" i="14"/>
  <c r="I24" i="14"/>
  <c r="L21" i="14"/>
  <c r="I21" i="14"/>
  <c r="I23" i="14"/>
  <c r="L23" i="14"/>
  <c r="L7" i="14"/>
  <c r="I7" i="14"/>
  <c r="L3" i="14"/>
  <c r="I3" i="14"/>
  <c r="L12" i="14"/>
  <c r="I12" i="14"/>
  <c r="L4" i="14"/>
  <c r="I4" i="14"/>
  <c r="I14" i="14"/>
  <c r="L14" i="14"/>
  <c r="L5" i="14"/>
  <c r="I5" i="14"/>
  <c r="L29" i="14"/>
  <c r="I29" i="14"/>
  <c r="I19" i="14"/>
  <c r="L19" i="14"/>
  <c r="I3" i="13"/>
  <c r="I24" i="13"/>
  <c r="I26" i="13"/>
  <c r="I17" i="13"/>
  <c r="I19" i="13"/>
  <c r="I18" i="13"/>
  <c r="L14" i="13"/>
  <c r="L15" i="13"/>
  <c r="I13" i="13"/>
  <c r="L13" i="13"/>
  <c r="L6" i="13"/>
  <c r="I25" i="13"/>
  <c r="L4" i="13"/>
  <c r="L7" i="13"/>
  <c r="I27" i="13"/>
  <c r="I8" i="13"/>
  <c r="L2" i="13"/>
  <c r="L31" i="13"/>
  <c r="I5" i="13"/>
  <c r="L28" i="13"/>
  <c r="I30" i="13"/>
  <c r="L23" i="13"/>
  <c r="I29" i="13"/>
  <c r="L29" i="13"/>
  <c r="L21" i="13"/>
  <c r="I21" i="13"/>
  <c r="I22" i="13"/>
  <c r="J32" i="13"/>
  <c r="E32" i="13"/>
  <c r="D32" i="13"/>
  <c r="D4" i="6" s="1"/>
  <c r="I26" i="14" l="1"/>
  <c r="I16" i="2"/>
  <c r="L16" i="2"/>
  <c r="I22" i="14"/>
  <c r="L17" i="14"/>
  <c r="L25" i="14"/>
  <c r="I25" i="14"/>
  <c r="L18" i="14"/>
  <c r="I18" i="14"/>
  <c r="K32" i="13"/>
  <c r="I4" i="6" s="1"/>
  <c r="G32" i="13"/>
  <c r="M32" i="13"/>
  <c r="C4" i="6" s="1"/>
  <c r="F32" i="13"/>
  <c r="E4" i="6" l="1"/>
  <c r="H4" i="6" s="1"/>
  <c r="H32" i="13"/>
  <c r="G4" i="6" s="1"/>
  <c r="L32" i="13"/>
  <c r="I32" i="13"/>
  <c r="F4" i="6" s="1"/>
  <c r="M32" i="14"/>
  <c r="F32" i="14"/>
  <c r="L32" i="14"/>
  <c r="G32" i="14"/>
  <c r="H32" i="14"/>
  <c r="I32" i="14"/>
  <c r="F30" i="2"/>
  <c r="F15" i="2"/>
  <c r="F15" i="3" s="1"/>
  <c r="F3" i="2"/>
  <c r="M3" i="2" s="1"/>
  <c r="F18" i="2"/>
  <c r="F31" i="2"/>
  <c r="M31" i="2" s="1"/>
  <c r="F24" i="2"/>
  <c r="F29" i="2"/>
  <c r="M29" i="2" s="1"/>
  <c r="F9" i="2"/>
  <c r="G9" i="2" s="1"/>
  <c r="F20" i="2"/>
  <c r="G20" i="2" s="1"/>
  <c r="F13" i="2"/>
  <c r="M13" i="2" s="1"/>
  <c r="F19" i="2"/>
  <c r="M19" i="2" s="1"/>
  <c r="F17" i="2"/>
  <c r="F17" i="3" s="1"/>
  <c r="M17" i="3" s="1"/>
  <c r="F21" i="2"/>
  <c r="F4" i="2"/>
  <c r="F25" i="2"/>
  <c r="M25" i="2" s="1"/>
  <c r="F2" i="2"/>
  <c r="G2" i="2" s="1"/>
  <c r="F27" i="2"/>
  <c r="F26" i="2"/>
  <c r="G26" i="2" s="1"/>
  <c r="F7" i="2"/>
  <c r="M7" i="2" s="1"/>
  <c r="F22" i="2"/>
  <c r="G22" i="2" s="1"/>
  <c r="F5" i="2"/>
  <c r="M5" i="2" s="1"/>
  <c r="F6" i="2"/>
  <c r="F6" i="3" s="1"/>
  <c r="F10" i="2"/>
  <c r="G10" i="2" s="1"/>
  <c r="H10" i="2" s="1"/>
  <c r="F11" i="2"/>
  <c r="F23" i="2"/>
  <c r="G23" i="2" s="1"/>
  <c r="F12" i="2"/>
  <c r="F8" i="2"/>
  <c r="F8" i="3" s="1"/>
  <c r="M8" i="3" s="1"/>
  <c r="F14" i="2"/>
  <c r="M14" i="2" s="1"/>
  <c r="F28" i="2"/>
  <c r="G28" i="2" s="1"/>
  <c r="H28" i="2" s="1"/>
  <c r="F29" i="3" l="1"/>
  <c r="G29" i="3" s="1"/>
  <c r="F26" i="3"/>
  <c r="M26" i="3" s="1"/>
  <c r="F14" i="3"/>
  <c r="F14" i="4" s="1"/>
  <c r="F14" i="7" s="1"/>
  <c r="G14" i="7" s="1"/>
  <c r="H14" i="7" s="1"/>
  <c r="F20" i="3"/>
  <c r="M20" i="3" s="1"/>
  <c r="F7" i="3"/>
  <c r="F7" i="4" s="1"/>
  <c r="M20" i="2"/>
  <c r="F21" i="3"/>
  <c r="M21" i="3" s="1"/>
  <c r="F3" i="3"/>
  <c r="G3" i="3" s="1"/>
  <c r="H3" i="3" s="1"/>
  <c r="L3" i="3" s="1"/>
  <c r="F27" i="3"/>
  <c r="G27" i="3" s="1"/>
  <c r="H27" i="3" s="1"/>
  <c r="F18" i="3"/>
  <c r="F22" i="3"/>
  <c r="F19" i="3"/>
  <c r="G19" i="3" s="1"/>
  <c r="H19" i="3" s="1"/>
  <c r="F30" i="3"/>
  <c r="M30" i="3" s="1"/>
  <c r="F24" i="3"/>
  <c r="M24" i="3" s="1"/>
  <c r="G3" i="2"/>
  <c r="H3" i="2" s="1"/>
  <c r="L3" i="2" s="1"/>
  <c r="G17" i="2"/>
  <c r="H17" i="2" s="1"/>
  <c r="M2" i="2"/>
  <c r="M29" i="3"/>
  <c r="M9" i="2"/>
  <c r="G25" i="2"/>
  <c r="H25" i="2" s="1"/>
  <c r="F28" i="3"/>
  <c r="G28" i="3" s="1"/>
  <c r="H28" i="3" s="1"/>
  <c r="I28" i="3" s="1"/>
  <c r="F2" i="3"/>
  <c r="G17" i="3"/>
  <c r="H17" i="3" s="1"/>
  <c r="G13" i="2"/>
  <c r="H13" i="2" s="1"/>
  <c r="G7" i="2"/>
  <c r="H7" i="2" s="1"/>
  <c r="I7" i="2" s="1"/>
  <c r="G30" i="2"/>
  <c r="H30" i="2" s="1"/>
  <c r="M10" i="2"/>
  <c r="H9" i="2"/>
  <c r="M17" i="2"/>
  <c r="M30" i="2"/>
  <c r="M28" i="2"/>
  <c r="F10" i="3"/>
  <c r="F8" i="4"/>
  <c r="M11" i="2"/>
  <c r="F11" i="3"/>
  <c r="G6" i="3"/>
  <c r="H6" i="3" s="1"/>
  <c r="F6" i="4"/>
  <c r="F6" i="7" s="1"/>
  <c r="M6" i="3"/>
  <c r="G6" i="2"/>
  <c r="H6" i="2" s="1"/>
  <c r="F4" i="3"/>
  <c r="M4" i="2"/>
  <c r="M6" i="2"/>
  <c r="M27" i="2"/>
  <c r="G27" i="2"/>
  <c r="H27" i="2" s="1"/>
  <c r="F12" i="3"/>
  <c r="M12" i="2"/>
  <c r="I28" i="2"/>
  <c r="L28" i="2"/>
  <c r="G4" i="2"/>
  <c r="H4" i="2" s="1"/>
  <c r="F23" i="3"/>
  <c r="H23" i="2"/>
  <c r="G12" i="2"/>
  <c r="H12" i="2" s="1"/>
  <c r="G15" i="2"/>
  <c r="H15" i="2" s="1"/>
  <c r="M23" i="2"/>
  <c r="G5" i="2"/>
  <c r="H5" i="2" s="1"/>
  <c r="F5" i="3"/>
  <c r="F9" i="3"/>
  <c r="M15" i="2"/>
  <c r="G24" i="2"/>
  <c r="H24" i="2" s="1"/>
  <c r="G15" i="3"/>
  <c r="H15" i="3" s="1"/>
  <c r="F15" i="4"/>
  <c r="H22" i="2"/>
  <c r="M22" i="2"/>
  <c r="F31" i="3"/>
  <c r="M15" i="3"/>
  <c r="G31" i="2"/>
  <c r="H31" i="2" s="1"/>
  <c r="G14" i="2"/>
  <c r="H14" i="2" s="1"/>
  <c r="M26" i="2"/>
  <c r="H26" i="2"/>
  <c r="G11" i="2"/>
  <c r="H11" i="2" s="1"/>
  <c r="I10" i="2"/>
  <c r="L10" i="2"/>
  <c r="F25" i="3"/>
  <c r="M21" i="2"/>
  <c r="G21" i="2"/>
  <c r="H21" i="2" s="1"/>
  <c r="M24" i="2"/>
  <c r="H29" i="3"/>
  <c r="G29" i="2"/>
  <c r="H29" i="2" s="1"/>
  <c r="H20" i="2"/>
  <c r="M18" i="2"/>
  <c r="G18" i="2"/>
  <c r="H18" i="2" s="1"/>
  <c r="M8" i="2"/>
  <c r="G8" i="2"/>
  <c r="H8" i="2" s="1"/>
  <c r="G19" i="2"/>
  <c r="H19" i="2" s="1"/>
  <c r="H2" i="2"/>
  <c r="G8" i="3"/>
  <c r="H8" i="3" s="1"/>
  <c r="F13" i="3"/>
  <c r="G14" i="3" l="1"/>
  <c r="H14" i="3" s="1"/>
  <c r="L7" i="2"/>
  <c r="M14" i="3"/>
  <c r="G20" i="3"/>
  <c r="H20" i="3" s="1"/>
  <c r="L20" i="3" s="1"/>
  <c r="F7" i="7"/>
  <c r="F8" i="7"/>
  <c r="G6" i="7"/>
  <c r="H6" i="7" s="1"/>
  <c r="M6" i="7"/>
  <c r="G26" i="3"/>
  <c r="H26" i="3" s="1"/>
  <c r="I26" i="3" s="1"/>
  <c r="G14" i="4"/>
  <c r="H14" i="4" s="1"/>
  <c r="M14" i="4"/>
  <c r="F21" i="4"/>
  <c r="M21" i="4" s="1"/>
  <c r="G7" i="4"/>
  <c r="H7" i="4" s="1"/>
  <c r="L7" i="4" s="1"/>
  <c r="M7" i="4"/>
  <c r="F27" i="4"/>
  <c r="M27" i="4" s="1"/>
  <c r="M7" i="3"/>
  <c r="F30" i="4"/>
  <c r="F23" i="4"/>
  <c r="M23" i="4" s="1"/>
  <c r="G7" i="3"/>
  <c r="H7" i="3" s="1"/>
  <c r="L7" i="3" s="1"/>
  <c r="F19" i="4"/>
  <c r="G19" i="4" s="1"/>
  <c r="H19" i="4" s="1"/>
  <c r="I19" i="4" s="1"/>
  <c r="F22" i="4"/>
  <c r="M22" i="4" s="1"/>
  <c r="F25" i="4"/>
  <c r="M25" i="4" s="1"/>
  <c r="G24" i="3"/>
  <c r="H24" i="3" s="1"/>
  <c r="F31" i="4"/>
  <c r="G31" i="4" s="1"/>
  <c r="H31" i="4" s="1"/>
  <c r="G21" i="3"/>
  <c r="H21" i="3" s="1"/>
  <c r="I21" i="3" s="1"/>
  <c r="G22" i="3"/>
  <c r="H22" i="3" s="1"/>
  <c r="M14" i="7"/>
  <c r="F20" i="4"/>
  <c r="G20" i="4" s="1"/>
  <c r="H20" i="4" s="1"/>
  <c r="F28" i="4"/>
  <c r="F28" i="7" s="1"/>
  <c r="M27" i="3"/>
  <c r="G18" i="3"/>
  <c r="H18" i="3" s="1"/>
  <c r="I18" i="3" s="1"/>
  <c r="M19" i="3"/>
  <c r="M22" i="3"/>
  <c r="M3" i="3"/>
  <c r="F3" i="4"/>
  <c r="G30" i="3"/>
  <c r="H30" i="3" s="1"/>
  <c r="L30" i="3" s="1"/>
  <c r="I3" i="2"/>
  <c r="M18" i="3"/>
  <c r="I3" i="3"/>
  <c r="M28" i="3"/>
  <c r="F29" i="4"/>
  <c r="M29" i="4" s="1"/>
  <c r="F2" i="4"/>
  <c r="M2" i="3"/>
  <c r="L28" i="3"/>
  <c r="G2" i="3"/>
  <c r="H2" i="3" s="1"/>
  <c r="I30" i="2"/>
  <c r="L30" i="2"/>
  <c r="G8" i="4"/>
  <c r="H8" i="4" s="1"/>
  <c r="I8" i="4" s="1"/>
  <c r="I9" i="2"/>
  <c r="L9" i="2"/>
  <c r="L17" i="2"/>
  <c r="I17" i="2"/>
  <c r="M10" i="3"/>
  <c r="G10" i="3"/>
  <c r="H10" i="3" s="1"/>
  <c r="L10" i="3" s="1"/>
  <c r="F10" i="4"/>
  <c r="F10" i="7" s="1"/>
  <c r="M8" i="4"/>
  <c r="L31" i="2"/>
  <c r="I31" i="2"/>
  <c r="I19" i="3"/>
  <c r="L19" i="3"/>
  <c r="L15" i="2"/>
  <c r="I15" i="2"/>
  <c r="I27" i="2"/>
  <c r="L27" i="2"/>
  <c r="L6" i="2"/>
  <c r="I6" i="2"/>
  <c r="L11" i="2"/>
  <c r="I11" i="2"/>
  <c r="I14" i="3"/>
  <c r="L14" i="3"/>
  <c r="I18" i="2"/>
  <c r="L18" i="2"/>
  <c r="I14" i="7"/>
  <c r="L14" i="7"/>
  <c r="F4" i="4"/>
  <c r="F4" i="7" s="1"/>
  <c r="M4" i="3"/>
  <c r="G4" i="3"/>
  <c r="I6" i="3"/>
  <c r="L6" i="3"/>
  <c r="M9" i="3"/>
  <c r="G9" i="3"/>
  <c r="H9" i="3" s="1"/>
  <c r="F9" i="4"/>
  <c r="F9" i="7" s="1"/>
  <c r="I8" i="3"/>
  <c r="L8" i="3"/>
  <c r="L2" i="2"/>
  <c r="I2" i="2"/>
  <c r="F5" i="4"/>
  <c r="F5" i="7" s="1"/>
  <c r="G5" i="3"/>
  <c r="H5" i="3" s="1"/>
  <c r="M5" i="3"/>
  <c r="M6" i="4"/>
  <c r="G6" i="4"/>
  <c r="H6" i="4" s="1"/>
  <c r="L5" i="2"/>
  <c r="I5" i="2"/>
  <c r="L23" i="2"/>
  <c r="I23" i="2"/>
  <c r="L19" i="2"/>
  <c r="I19" i="2"/>
  <c r="L24" i="2"/>
  <c r="I24" i="2"/>
  <c r="F24" i="4"/>
  <c r="M23" i="3"/>
  <c r="G23" i="3"/>
  <c r="H23" i="3" s="1"/>
  <c r="M11" i="3"/>
  <c r="G11" i="3"/>
  <c r="H11" i="3" s="1"/>
  <c r="F11" i="4"/>
  <c r="I21" i="2"/>
  <c r="L21" i="2"/>
  <c r="L15" i="3"/>
  <c r="I15" i="3"/>
  <c r="F12" i="4"/>
  <c r="G12" i="3"/>
  <c r="H12" i="3" s="1"/>
  <c r="M12" i="3"/>
  <c r="I4" i="2"/>
  <c r="L4" i="2"/>
  <c r="I8" i="2"/>
  <c r="L8" i="2"/>
  <c r="G15" i="4"/>
  <c r="H15" i="4" s="1"/>
  <c r="F15" i="7"/>
  <c r="M15" i="4"/>
  <c r="L12" i="2"/>
  <c r="I12" i="2"/>
  <c r="I20" i="2"/>
  <c r="L20" i="2"/>
  <c r="I14" i="2"/>
  <c r="L14" i="2"/>
  <c r="I13" i="2"/>
  <c r="L13" i="2"/>
  <c r="G13" i="3"/>
  <c r="H13" i="3" s="1"/>
  <c r="F13" i="4"/>
  <c r="M13" i="3"/>
  <c r="L29" i="2"/>
  <c r="I29" i="2"/>
  <c r="F30" i="7"/>
  <c r="G30" i="7" s="1"/>
  <c r="H30" i="7" s="1"/>
  <c r="L29" i="3"/>
  <c r="I29" i="3"/>
  <c r="M31" i="3"/>
  <c r="G31" i="3"/>
  <c r="H31" i="3" s="1"/>
  <c r="I22" i="2"/>
  <c r="L22" i="2"/>
  <c r="I14" i="4"/>
  <c r="L14" i="4"/>
  <c r="G30" i="4"/>
  <c r="H30" i="4" s="1"/>
  <c r="G25" i="3"/>
  <c r="H25" i="3" s="1"/>
  <c r="M25" i="3"/>
  <c r="F26" i="4"/>
  <c r="L27" i="3"/>
  <c r="I27" i="3"/>
  <c r="L17" i="3"/>
  <c r="I17" i="3"/>
  <c r="I25" i="2"/>
  <c r="L25" i="2"/>
  <c r="L26" i="2"/>
  <c r="I26" i="2"/>
  <c r="I20" i="3" l="1"/>
  <c r="F22" i="7"/>
  <c r="L26" i="3"/>
  <c r="G27" i="4"/>
  <c r="H27" i="4" s="1"/>
  <c r="L27" i="4" s="1"/>
  <c r="F27" i="7"/>
  <c r="M27" i="7" s="1"/>
  <c r="F31" i="7"/>
  <c r="M31" i="7" s="1"/>
  <c r="G21" i="4"/>
  <c r="H21" i="4" s="1"/>
  <c r="L21" i="4" s="1"/>
  <c r="F23" i="7"/>
  <c r="M23" i="7" s="1"/>
  <c r="M5" i="7"/>
  <c r="G5" i="7"/>
  <c r="H5" i="7" s="1"/>
  <c r="L5" i="7" s="1"/>
  <c r="M10" i="7"/>
  <c r="G10" i="7"/>
  <c r="H10" i="7" s="1"/>
  <c r="I10" i="7" s="1"/>
  <c r="G28" i="7"/>
  <c r="H28" i="7" s="1"/>
  <c r="M28" i="7"/>
  <c r="G9" i="7"/>
  <c r="H9" i="7" s="1"/>
  <c r="M9" i="7"/>
  <c r="I6" i="7"/>
  <c r="L6" i="7"/>
  <c r="G8" i="7"/>
  <c r="H8" i="7" s="1"/>
  <c r="M8" i="7"/>
  <c r="G7" i="7"/>
  <c r="H7" i="7" s="1"/>
  <c r="M7" i="7"/>
  <c r="I7" i="4"/>
  <c r="I7" i="3"/>
  <c r="M30" i="4"/>
  <c r="G23" i="4"/>
  <c r="H23" i="4" s="1"/>
  <c r="L23" i="4" s="1"/>
  <c r="L19" i="4"/>
  <c r="G22" i="4"/>
  <c r="H22" i="4" s="1"/>
  <c r="I22" i="4" s="1"/>
  <c r="M19" i="4"/>
  <c r="I30" i="3"/>
  <c r="G27" i="7"/>
  <c r="H27" i="7" s="1"/>
  <c r="L27" i="7" s="1"/>
  <c r="M30" i="7"/>
  <c r="G25" i="4"/>
  <c r="H25" i="4" s="1"/>
  <c r="I25" i="4" s="1"/>
  <c r="L24" i="3"/>
  <c r="I24" i="3"/>
  <c r="L21" i="3"/>
  <c r="M31" i="4"/>
  <c r="I22" i="3"/>
  <c r="L22" i="3"/>
  <c r="I10" i="3"/>
  <c r="M3" i="4"/>
  <c r="F3" i="7"/>
  <c r="G3" i="4"/>
  <c r="H3" i="4" s="1"/>
  <c r="M20" i="4"/>
  <c r="G29" i="4"/>
  <c r="H29" i="4" s="1"/>
  <c r="I29" i="4" s="1"/>
  <c r="L18" i="3"/>
  <c r="G28" i="4"/>
  <c r="H28" i="4" s="1"/>
  <c r="M28" i="4"/>
  <c r="I2" i="3"/>
  <c r="L2" i="3"/>
  <c r="M2" i="4"/>
  <c r="G2" i="4"/>
  <c r="H2" i="4" s="1"/>
  <c r="F2" i="7"/>
  <c r="F12" i="7"/>
  <c r="G10" i="4"/>
  <c r="H10" i="4" s="1"/>
  <c r="M10" i="4"/>
  <c r="L8" i="4"/>
  <c r="F24" i="7"/>
  <c r="I23" i="3"/>
  <c r="L23" i="3"/>
  <c r="I6" i="4"/>
  <c r="L6" i="4"/>
  <c r="I13" i="3"/>
  <c r="L13" i="3"/>
  <c r="I25" i="3"/>
  <c r="L25" i="3"/>
  <c r="I11" i="3"/>
  <c r="L11" i="3"/>
  <c r="M9" i="4"/>
  <c r="F11" i="7"/>
  <c r="G9" i="4"/>
  <c r="H9" i="4" s="1"/>
  <c r="F21" i="7"/>
  <c r="I31" i="3"/>
  <c r="L31" i="3"/>
  <c r="F29" i="7"/>
  <c r="M12" i="4"/>
  <c r="G12" i="4"/>
  <c r="H12" i="4" s="1"/>
  <c r="I20" i="4"/>
  <c r="L20" i="4"/>
  <c r="I15" i="4"/>
  <c r="L15" i="4"/>
  <c r="F13" i="7"/>
  <c r="M11" i="4"/>
  <c r="G11" i="4"/>
  <c r="H11" i="4" s="1"/>
  <c r="L30" i="7"/>
  <c r="I30" i="7"/>
  <c r="M15" i="7"/>
  <c r="G15" i="7"/>
  <c r="H15" i="7" s="1"/>
  <c r="M5" i="4"/>
  <c r="G5" i="4"/>
  <c r="H5" i="4" s="1"/>
  <c r="G4" i="4"/>
  <c r="H4" i="4" s="1"/>
  <c r="M4" i="4"/>
  <c r="M26" i="4"/>
  <c r="G26" i="4"/>
  <c r="H26" i="4" s="1"/>
  <c r="F19" i="7"/>
  <c r="H4" i="3"/>
  <c r="F25" i="7"/>
  <c r="M13" i="4"/>
  <c r="G13" i="4"/>
  <c r="H13" i="4" s="1"/>
  <c r="L12" i="3"/>
  <c r="I12" i="3"/>
  <c r="F26" i="7"/>
  <c r="I9" i="3"/>
  <c r="L9" i="3"/>
  <c r="G24" i="4"/>
  <c r="H24" i="4" s="1"/>
  <c r="M24" i="4"/>
  <c r="I5" i="3"/>
  <c r="L5" i="3"/>
  <c r="I31" i="4"/>
  <c r="L31" i="4"/>
  <c r="G22" i="7"/>
  <c r="H22" i="7" s="1"/>
  <c r="M22" i="7"/>
  <c r="G4" i="7"/>
  <c r="H4" i="7" s="1"/>
  <c r="M4" i="7"/>
  <c r="F20" i="7"/>
  <c r="L30" i="4"/>
  <c r="I30" i="4"/>
  <c r="I27" i="4" l="1"/>
  <c r="G31" i="7"/>
  <c r="H31" i="7" s="1"/>
  <c r="I21" i="4"/>
  <c r="G23" i="7"/>
  <c r="H23" i="7" s="1"/>
  <c r="I5" i="7"/>
  <c r="L9" i="7"/>
  <c r="I9" i="7"/>
  <c r="I28" i="7"/>
  <c r="L28" i="7"/>
  <c r="L7" i="7"/>
  <c r="I7" i="7"/>
  <c r="I8" i="7"/>
  <c r="L8" i="7"/>
  <c r="L10" i="7"/>
  <c r="I23" i="4"/>
  <c r="L29" i="4"/>
  <c r="L25" i="4"/>
  <c r="L22" i="4"/>
  <c r="I27" i="7"/>
  <c r="L28" i="4"/>
  <c r="I28" i="4"/>
  <c r="G3" i="7"/>
  <c r="H3" i="7" s="1"/>
  <c r="M3" i="7"/>
  <c r="L3" i="4"/>
  <c r="I3" i="4"/>
  <c r="M2" i="7"/>
  <c r="G2" i="7"/>
  <c r="H2" i="7" s="1"/>
  <c r="I2" i="4"/>
  <c r="L2" i="4"/>
  <c r="G24" i="7"/>
  <c r="H24" i="7" s="1"/>
  <c r="M24" i="7"/>
  <c r="L10" i="4"/>
  <c r="I10" i="4"/>
  <c r="G12" i="7"/>
  <c r="H12" i="7" s="1"/>
  <c r="M12" i="7"/>
  <c r="L23" i="7"/>
  <c r="I23" i="7"/>
  <c r="I22" i="7"/>
  <c r="L22" i="7"/>
  <c r="I5" i="4"/>
  <c r="L5" i="4"/>
  <c r="I13" i="4"/>
  <c r="L13" i="4"/>
  <c r="L15" i="7"/>
  <c r="I15" i="7"/>
  <c r="I12" i="4"/>
  <c r="L12" i="4"/>
  <c r="I4" i="7"/>
  <c r="L4" i="7"/>
  <c r="G11" i="7"/>
  <c r="H11" i="7" s="1"/>
  <c r="M11" i="7"/>
  <c r="L26" i="4"/>
  <c r="I26" i="4"/>
  <c r="M26" i="7"/>
  <c r="G26" i="7"/>
  <c r="H26" i="7" s="1"/>
  <c r="G19" i="7"/>
  <c r="H19" i="7" s="1"/>
  <c r="M19" i="7"/>
  <c r="M21" i="7"/>
  <c r="G21" i="7"/>
  <c r="H21" i="7" s="1"/>
  <c r="M25" i="7"/>
  <c r="G25" i="7"/>
  <c r="H25" i="7" s="1"/>
  <c r="G20" i="7"/>
  <c r="H20" i="7" s="1"/>
  <c r="M20" i="7"/>
  <c r="L4" i="4"/>
  <c r="I4" i="4"/>
  <c r="G29" i="7"/>
  <c r="H29" i="7" s="1"/>
  <c r="M29" i="7"/>
  <c r="I24" i="4"/>
  <c r="L24" i="4"/>
  <c r="I4" i="3"/>
  <c r="L4" i="3"/>
  <c r="I11" i="4"/>
  <c r="L11" i="4"/>
  <c r="L31" i="7"/>
  <c r="I31" i="7"/>
  <c r="G13" i="7"/>
  <c r="H13" i="7" s="1"/>
  <c r="M13" i="7"/>
  <c r="I9" i="4"/>
  <c r="L9" i="4"/>
  <c r="L3" i="7" l="1"/>
  <c r="I3" i="7"/>
  <c r="I2" i="7"/>
  <c r="L2" i="7"/>
  <c r="I12" i="7"/>
  <c r="L12" i="7"/>
  <c r="I24" i="7"/>
  <c r="L24" i="7"/>
  <c r="I29" i="7"/>
  <c r="L29" i="7"/>
  <c r="I21" i="7"/>
  <c r="L21" i="7"/>
  <c r="L25" i="7"/>
  <c r="I25" i="7"/>
  <c r="I13" i="7"/>
  <c r="L13" i="7"/>
  <c r="L20" i="7"/>
  <c r="I20" i="7"/>
  <c r="L11" i="7"/>
  <c r="I11" i="7"/>
  <c r="I26" i="7"/>
  <c r="L26" i="7"/>
  <c r="L19" i="7"/>
  <c r="I19" i="7"/>
  <c r="G32" i="2"/>
  <c r="I32" i="2"/>
  <c r="L32" i="2"/>
  <c r="H32" i="2"/>
  <c r="M32" i="2"/>
  <c r="F32" i="2"/>
  <c r="F16" i="3"/>
  <c r="F16" i="4" s="1"/>
  <c r="F16" i="7" s="1"/>
  <c r="F17" i="4"/>
  <c r="E39" i="7" l="1"/>
  <c r="G16" i="7"/>
  <c r="H16" i="7" s="1"/>
  <c r="M16" i="7"/>
  <c r="M16" i="3"/>
  <c r="M32" i="3" s="1"/>
  <c r="G16" i="4"/>
  <c r="H16" i="4" s="1"/>
  <c r="M16" i="4"/>
  <c r="F17" i="7"/>
  <c r="M17" i="7" s="1"/>
  <c r="G16" i="3"/>
  <c r="G32" i="3" s="1"/>
  <c r="F32" i="3"/>
  <c r="F18" i="4"/>
  <c r="F18" i="7" s="1"/>
  <c r="G17" i="4"/>
  <c r="H17" i="4" s="1"/>
  <c r="M17" i="4"/>
  <c r="F32" i="4"/>
  <c r="G18" i="7" l="1"/>
  <c r="H18" i="7" s="1"/>
  <c r="M18" i="7"/>
  <c r="G17" i="7"/>
  <c r="H17" i="7" s="1"/>
  <c r="L16" i="7"/>
  <c r="I16" i="7"/>
  <c r="H16" i="3"/>
  <c r="L16" i="3" s="1"/>
  <c r="L32" i="3" s="1"/>
  <c r="L16" i="4"/>
  <c r="I16" i="4"/>
  <c r="I17" i="4"/>
  <c r="L17" i="4"/>
  <c r="G18" i="4"/>
  <c r="G32" i="4" s="1"/>
  <c r="M18" i="4"/>
  <c r="M32" i="4" s="1"/>
  <c r="H18" i="4" l="1"/>
  <c r="I18" i="7"/>
  <c r="L18" i="7"/>
  <c r="E40" i="7"/>
  <c r="H32" i="3"/>
  <c r="I16" i="3"/>
  <c r="I32" i="3" s="1"/>
  <c r="L18" i="4"/>
  <c r="L32" i="4" s="1"/>
  <c r="I18" i="4"/>
  <c r="I32" i="4" s="1"/>
  <c r="M32" i="7"/>
  <c r="F32" i="7"/>
  <c r="H32" i="4"/>
  <c r="L17" i="7"/>
  <c r="I17" i="7"/>
  <c r="G32" i="7" l="1"/>
  <c r="I32" i="7" l="1"/>
  <c r="L32" i="7"/>
  <c r="H32" i="7"/>
</calcChain>
</file>

<file path=xl/sharedStrings.xml><?xml version="1.0" encoding="utf-8"?>
<sst xmlns="http://schemas.openxmlformats.org/spreadsheetml/2006/main" count="741" uniqueCount="75">
  <si>
    <t>Mois</t>
  </si>
  <si>
    <t>Octobre</t>
  </si>
  <si>
    <t>Novembre</t>
  </si>
  <si>
    <t>Décembre</t>
  </si>
  <si>
    <t>Janvier</t>
  </si>
  <si>
    <t>Février</t>
  </si>
  <si>
    <t>Charge Initiale</t>
  </si>
  <si>
    <t>Tâche</t>
  </si>
  <si>
    <t>Qui</t>
  </si>
  <si>
    <t>CI (h)</t>
  </si>
  <si>
    <t>TPS Période(h)</t>
  </si>
  <si>
    <t>TPS Cumul (h)</t>
  </si>
  <si>
    <t>RPS (h)</t>
  </si>
  <si>
    <t>CR (h)</t>
  </si>
  <si>
    <t>EC (h)</t>
  </si>
  <si>
    <t>PRU (€)</t>
  </si>
  <si>
    <t>Coût Initial (€)</t>
  </si>
  <si>
    <t>Coût Révisé (€)</t>
  </si>
  <si>
    <t>Coût Réel</t>
  </si>
  <si>
    <t>Chef de projet</t>
  </si>
  <si>
    <t>Spécifications</t>
  </si>
  <si>
    <t>Total</t>
  </si>
  <si>
    <t>Septembre</t>
  </si>
  <si>
    <t>Rôles</t>
  </si>
  <si>
    <t>Chef de Projet</t>
  </si>
  <si>
    <t>Ecart charge total</t>
  </si>
  <si>
    <t>PRU</t>
  </si>
  <si>
    <t>Phase</t>
  </si>
  <si>
    <t>Initialisation</t>
  </si>
  <si>
    <t>Conception générale</t>
  </si>
  <si>
    <t>Conception détaillé</t>
  </si>
  <si>
    <t>Réalisation</t>
  </si>
  <si>
    <t>Tests unitaires</t>
  </si>
  <si>
    <t>Test d'intégration</t>
  </si>
  <si>
    <t>Validation</t>
  </si>
  <si>
    <t>Livraison</t>
  </si>
  <si>
    <t>Temps passé cumulé</t>
  </si>
  <si>
    <t>Charge Révisée totale</t>
  </si>
  <si>
    <t>Coût initial</t>
  </si>
  <si>
    <t>Avancement (%) TP/CI</t>
  </si>
  <si>
    <t>Quantité d'heure</t>
  </si>
  <si>
    <t>Validation Liste</t>
  </si>
  <si>
    <t>Oui</t>
  </si>
  <si>
    <t>Non</t>
  </si>
  <si>
    <t>Temps réel</t>
  </si>
  <si>
    <t>Fiche d'Ouverture de Projet</t>
  </si>
  <si>
    <t>Plan de développement</t>
  </si>
  <si>
    <t>SPEC</t>
  </si>
  <si>
    <t>Analyse norme IEC61131</t>
  </si>
  <si>
    <t>Analyse norme IEC61499</t>
  </si>
  <si>
    <t>Analyse du fonctionnement du centre de tri de pièce FactoryIO</t>
  </si>
  <si>
    <t>Méthodologie de programmation du centre de tri de pièce (Norme IEC61131)</t>
  </si>
  <si>
    <t>Méthodologie de programmation du centre de tri de pièce (Norme IEC61499)</t>
  </si>
  <si>
    <t>IEC61131 - Grafcet de fonctionnement général</t>
  </si>
  <si>
    <t>IEC61499 - Schéma bloc fonctionnel général</t>
  </si>
  <si>
    <t>Fonctionnement général du centre de tri de pièce</t>
  </si>
  <si>
    <t>Liste des capteurs Centre de tri de pièce</t>
  </si>
  <si>
    <t>Diagrammes fonctionnels IEC 61499</t>
  </si>
  <si>
    <t>Diagrammes fonctionnels IEC 61131</t>
  </si>
  <si>
    <t>Fonctionnement détaillé du centre de tri de pièce FactoryIO</t>
  </si>
  <si>
    <t>Tâble des variables centre de tri de pièce FactoryIO</t>
  </si>
  <si>
    <t>Programmation du centre de tri de pièce sur ECE</t>
  </si>
  <si>
    <t>Programmation du centre de tri de pièce sur EAE</t>
  </si>
  <si>
    <t>Réalisation du centre de tri de pièce sur FactoryIO</t>
  </si>
  <si>
    <t>Rédaction du document de méthodologie de programmation sur la norme IEC61499</t>
  </si>
  <si>
    <t>Test unitaire programme EAE</t>
  </si>
  <si>
    <t>Test unitaire programme ECE</t>
  </si>
  <si>
    <t>Test d'intégration FactoryIO et programme ECE</t>
  </si>
  <si>
    <t>Test d'intégration FactoryIO et programme EAE</t>
  </si>
  <si>
    <t>Validation du fonctionnement avec le client</t>
  </si>
  <si>
    <t>Rédaction du document de comparaison norme IEC61131 et IEC 61499</t>
  </si>
  <si>
    <t>Validation du document de comparaison par le client</t>
  </si>
  <si>
    <t>Correction (optionnel)</t>
  </si>
  <si>
    <t>Remise du simulateur fonctionnel EAE et Factory IO (IEC61499)</t>
  </si>
  <si>
    <t>Remise du simulateur fonctionnel EAE et Factory IO (IEC61131)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</si>
</sst>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6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0" fillId="0" borderId="4" xfId="0" applyBorder="1"/>
    <xf numFmtId="0" fontId="3" fillId="0" borderId="4" xfId="0" applyFont="1" applyBorder="1"/>
    <xf numFmtId="0" fontId="3" fillId="0" borderId="4" xfId="0" applyFont="1" applyBorder="1" applyAlignment="1">
      <alignment vertical="center"/>
    </xf>
    <xf numFmtId="0" fontId="1" fillId="0" borderId="5" xfId="0" applyFont="1" applyBorder="1"/>
    <xf numFmtId="0" fontId="3" fillId="7" borderId="4" xfId="0" applyFont="1" applyFill="1" applyBorder="1" applyAlignment="1">
      <alignment horizontal="center"/>
    </xf>
    <xf numFmtId="10" fontId="0" fillId="0" borderId="4" xfId="0" applyNumberFormat="1" applyBorder="1"/>
    <xf numFmtId="0" fontId="4" fillId="0" borderId="1" xfId="0" applyFont="1" applyBorder="1"/>
    <xf numFmtId="0" fontId="4" fillId="0" borderId="3" xfId="0" applyFont="1" applyBorder="1"/>
    <xf numFmtId="0" fontId="0" fillId="3" borderId="0" xfId="0" applyFill="1"/>
    <xf numFmtId="0" fontId="1" fillId="3" borderId="4" xfId="0" applyFont="1" applyFill="1" applyBorder="1" applyAlignment="1">
      <alignment horizontal="center"/>
    </xf>
    <xf numFmtId="0" fontId="4" fillId="8" borderId="5" xfId="0" applyFont="1" applyFill="1" applyBorder="1"/>
    <xf numFmtId="0" fontId="1" fillId="0" borderId="9" xfId="0" applyFont="1" applyBorder="1" applyAlignment="1">
      <alignment horizontal="center"/>
    </xf>
    <xf numFmtId="0" fontId="4" fillId="8" borderId="4" xfId="0" applyFont="1" applyFill="1" applyBorder="1"/>
    <xf numFmtId="0" fontId="1" fillId="0" borderId="10" xfId="0" applyFont="1" applyBorder="1"/>
    <xf numFmtId="0" fontId="5" fillId="0" borderId="4" xfId="0" applyFont="1" applyBorder="1" applyAlignment="1">
      <alignment horizontal="center"/>
    </xf>
    <xf numFmtId="0" fontId="5" fillId="0" borderId="0" xfId="0" applyFont="1"/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1" fillId="2" borderId="5" xfId="0" applyFont="1" applyFill="1" applyBorder="1"/>
    <xf numFmtId="0" fontId="0" fillId="3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Border="1"/>
    <xf numFmtId="10" fontId="0" fillId="0" borderId="0" xfId="0" applyNumberFormat="1" applyBorder="1"/>
  </cellXfs>
  <cellStyles count="1">
    <cellStyle name="Normal" xfId="0" builtinId="0"/>
  </cellStyles>
  <dxfs count="3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theme="7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</dxfs>
  <tableStyles count="0" defaultTableStyle="TableStyleMedium2" defaultPivotStyle="PivotStyleMedium9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Synthèse!$H$3</c:f>
              <c:strCache>
                <c:ptCount val="1"/>
                <c:pt idx="0">
                  <c:v>Avancement (%) TP/CI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Synthèse!$H$4:$H$9</c:f>
              <c:numCache>
                <c:formatCode>0.00%</c:formatCode>
                <c:ptCount val="6"/>
                <c:pt idx="0">
                  <c:v>0.13333333333333333</c:v>
                </c:pt>
                <c:pt idx="1">
                  <c:v>0.2416666667</c:v>
                </c:pt>
                <c:pt idx="2" formatCode="General">
                  <c:v>0</c:v>
                </c:pt>
                <c:pt idx="3" formatCode="General">
                  <c:v>0</c:v>
                </c:pt>
                <c:pt idx="4" formatCode="General">
                  <c:v>0</c:v>
                </c:pt>
                <c:pt idx="5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06-4206-9358-6B569B92725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6492432"/>
        <c:axId val="836493152"/>
      </c:lineChart>
      <c:catAx>
        <c:axId val="83649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6493152"/>
        <c:crosses val="autoZero"/>
        <c:auto val="1"/>
        <c:lblAlgn val="ctr"/>
        <c:lblOffset val="100"/>
        <c:noMultiLvlLbl val="0"/>
      </c:catAx>
      <c:valAx>
        <c:axId val="8364931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649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Coûts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Synthèse!$C$3</c:f>
              <c:strCache>
                <c:ptCount val="1"/>
                <c:pt idx="0">
                  <c:v>Coût Réel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Synthèse!$C$4:$C$9</c:f>
              <c:numCache>
                <c:formatCode>General</c:formatCode>
                <c:ptCount val="6"/>
                <c:pt idx="0">
                  <c:v>1088</c:v>
                </c:pt>
                <c:pt idx="1">
                  <c:v>1440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B1-4446-A4A1-624F855EC1E4}"/>
            </c:ext>
          </c:extLst>
        </c:ser>
        <c:ser>
          <c:idx val="1"/>
          <c:order val="1"/>
          <c:tx>
            <c:strRef>
              <c:f>Synthèse!$I$3</c:f>
              <c:strCache>
                <c:ptCount val="1"/>
                <c:pt idx="0">
                  <c:v>Coût initial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C88-4E19-8871-17E92F81BCE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C88-4E19-8871-17E92F81BCE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C88-4E19-8871-17E92F81BCE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88-4E19-8871-17E92F81BCE1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365345640544863"/>
                      <c:h val="0.176495036362931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C88-4E19-8871-17E92F81BCE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Synthèse!$I$4:$I$9</c:f>
              <c:numCache>
                <c:formatCode>General</c:formatCode>
                <c:ptCount val="6"/>
                <c:pt idx="0">
                  <c:v>8160</c:v>
                </c:pt>
                <c:pt idx="1">
                  <c:v>3840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B1-4446-A4A1-624F855EC1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7868824"/>
        <c:axId val="837864864"/>
      </c:lineChart>
      <c:catAx>
        <c:axId val="837868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864864"/>
        <c:crosses val="autoZero"/>
        <c:auto val="1"/>
        <c:lblAlgn val="ctr"/>
        <c:lblOffset val="100"/>
        <c:noMultiLvlLbl val="0"/>
      </c:catAx>
      <c:valAx>
        <c:axId val="837864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7868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Ecart charge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Synthèse!$B$4:$B$9</c:f>
              <c:strCache>
                <c:ptCount val="6"/>
                <c:pt idx="0">
                  <c:v>Septembre</c:v>
                </c:pt>
                <c:pt idx="1">
                  <c:v>Octobre</c:v>
                </c:pt>
                <c:pt idx="2">
                  <c:v>Novembre</c:v>
                </c:pt>
                <c:pt idx="3">
                  <c:v>Décembre</c:v>
                </c:pt>
                <c:pt idx="4">
                  <c:v>Janvier</c:v>
                </c:pt>
                <c:pt idx="5">
                  <c:v>Février</c:v>
                </c:pt>
              </c:strCache>
            </c:strRef>
          </c:cat>
          <c:val>
            <c:numRef>
              <c:f>Synthèse!$F$4:$F$9</c:f>
              <c:numCache>
                <c:formatCode>General</c:formatCode>
                <c:ptCount val="6"/>
                <c:pt idx="0">
                  <c:v>1</c:v>
                </c:pt>
                <c:pt idx="1">
                  <c:v>-18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1-4298-8ABF-D0620FD7692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38053791"/>
        <c:axId val="838062431"/>
      </c:lineChart>
      <c:catAx>
        <c:axId val="83805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8062431"/>
        <c:crosses val="autoZero"/>
        <c:auto val="1"/>
        <c:lblAlgn val="ctr"/>
        <c:lblOffset val="100"/>
        <c:noMultiLvlLbl val="0"/>
      </c:catAx>
      <c:valAx>
        <c:axId val="838062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380537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784424</xdr:colOff>
      <xdr:row>10</xdr:row>
      <xdr:rowOff>11508</xdr:rowOff>
    </xdr:from>
    <xdr:to>
      <xdr:col>7</xdr:col>
      <xdr:colOff>1079500</xdr:colOff>
      <xdr:row>24</xdr:row>
      <xdr:rowOff>177800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9E7C97A-C03A-48A8-B02A-F07A633BF2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241102</xdr:colOff>
      <xdr:row>10</xdr:row>
      <xdr:rowOff>16272</xdr:rowOff>
    </xdr:from>
    <xdr:to>
      <xdr:col>3</xdr:col>
      <xdr:colOff>641350</xdr:colOff>
      <xdr:row>24</xdr:row>
      <xdr:rowOff>171450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C083FAC-1E9D-9FD7-6B9A-B81F46391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1235075</xdr:colOff>
      <xdr:row>9</xdr:row>
      <xdr:rowOff>180975</xdr:rowOff>
    </xdr:from>
    <xdr:to>
      <xdr:col>13</xdr:col>
      <xdr:colOff>447675</xdr:colOff>
      <xdr:row>24</xdr:row>
      <xdr:rowOff>161925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EBE132B-FF5B-61C1-5B4E-81A5CC3E9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0A3744-8D5A-46F5-AA97-C9B422BD0D1F}" name="Septembre" displayName="Septembre" ref="B1:M32" totalsRowCount="1" headerRowDxfId="315" dataDxfId="313" headerRowBorderDxfId="314" tableBorderDxfId="312">
  <autoFilter ref="B1:M31" xr:uid="{440A3744-8D5A-46F5-AA97-C9B422BD0D1F}"/>
  <tableColumns count="12">
    <tableColumn id="1" xr3:uid="{97048463-914E-4E71-899C-76482CCB2C44}" name="Tâche" totalsRowLabel="Total" dataDxfId="311" totalsRowDxfId="310"/>
    <tableColumn id="11" xr3:uid="{4BFBC204-AA89-4602-9E59-84856EE959ED}" name="Qui" dataDxfId="309" totalsRowDxfId="308"/>
    <tableColumn id="2" xr3:uid="{76B9C57E-5ECA-4A3D-93E1-B8FFF04F5B11}" name="CI (h)" totalsRowFunction="sum" dataDxfId="307" totalsRowDxfId="306"/>
    <tableColumn id="3" xr3:uid="{BEC0BCD5-FE1D-4FC8-8269-940A08E66084}" name="TPS Période(h)" totalsRowFunction="sum" dataDxfId="305" totalsRowDxfId="304"/>
    <tableColumn id="10" xr3:uid="{11D169F4-5914-4E75-A26C-2FEF6011DC9D}" name="TPS Cumul (h)" totalsRowFunction="sum" dataDxfId="303" totalsRowDxfId="302">
      <calculatedColumnFormula>Septembre[[#This Row],[TPS Période(h)]]</calculatedColumnFormula>
    </tableColumn>
    <tableColumn id="4" xr3:uid="{67127178-B079-4D11-8494-79BD60908F36}" name="RPS (h)" totalsRowFunction="sum" dataDxfId="301" totalsRowDxfId="300">
      <calculatedColumnFormula>MAX(Septembre[[#This Row],[CI (h)]]-Septembre[[#This Row],[TPS Cumul (h)]], 0)</calculatedColumnFormula>
    </tableColumn>
    <tableColumn id="5" xr3:uid="{C9A1B790-E893-4A05-A3AF-41AF5BA0EDD9}" name="CR (h)" totalsRowFunction="sum" dataDxfId="299" totalsRowDxfId="298">
      <calculatedColumnFormula>Septembre[[#This Row],[TPS Cumul (h)]]+Septembre[[#This Row],[RPS (h)]]</calculatedColumnFormula>
    </tableColumn>
    <tableColumn id="6" xr3:uid="{C58085A2-2576-4177-8B55-94D78BE58A38}" name="EC (h)" totalsRowFunction="sum" dataDxfId="297" totalsRowDxfId="296">
      <calculatedColumnFormula>Septembre[[#This Row],[CI (h)]]-Septembre[[#This Row],[CR (h)]]</calculatedColumnFormula>
    </tableColumn>
    <tableColumn id="7" xr3:uid="{D12D9132-08E2-4999-9183-12EA949645C0}" name="PRU (€)" totalsRowFunction="sum" dataDxfId="295" totalsRowDxfId="294">
      <calculatedColumnFormula>IF(Septembre[[#This Row],[Qui]]="Chef de projet","32",IF(Septembre[[#This Row],[Qui]]="Ingénieur Electronique","32",IF(Septembre[[#This Row],[Qui]]="Ingénieur qualité","36",IF(Septembre[[#This Row],[Qui]]="Ingénieur Développement",30,IF(Septembre[[#This Row],[Qui]]="Ingénieur Mécanique",34,"")))))</calculatedColumnFormula>
    </tableColumn>
    <tableColumn id="9" xr3:uid="{F46F5BD8-68AA-498F-B317-2D5848E086E8}" name="Coût Initial (€)" totalsRowFunction="sum" dataDxfId="293" totalsRowDxfId="292">
      <calculatedColumnFormula>Septembre[[#This Row],[CI (h)]]*Septembre[[#This Row],[PRU (€)]]</calculatedColumnFormula>
    </tableColumn>
    <tableColumn id="8" xr3:uid="{020C3B07-B752-40E8-B385-36CA11990C0C}" name="Coût Révisé (€)" totalsRowFunction="sum" dataDxfId="291" totalsRowDxfId="290">
      <calculatedColumnFormula>Septembre[[#This Row],[CR (h)]]*Septembre[[#This Row],[PRU (€)]]</calculatedColumnFormula>
    </tableColumn>
    <tableColumn id="12" xr3:uid="{3FDEFECF-8154-4581-859B-580BE23A82CE}" name="Coût Réel" totalsRowFunction="sum" dataDxfId="289" totalsRowDxfId="288">
      <calculatedColumnFormula>Septembre[[#This Row],[PRU (€)]]*Septembre[[#This Row],[TPS Cumul (h)]]</calculatedColumnFormula>
    </tableColumn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F858E53-053B-4DF3-9044-F6278BE8F71B}" name="Octobre" displayName="Octobre" ref="B1:M32" totalsRowCount="1" headerRowDxfId="287" dataDxfId="285" headerRowBorderDxfId="286" tableBorderDxfId="284">
  <autoFilter ref="B1:M31" xr:uid="{3F858E53-053B-4DF3-9044-F6278BE8F71B}"/>
  <tableColumns count="12">
    <tableColumn id="1" xr3:uid="{2101F99C-EA0F-46CA-9FBF-536693CCD3A0}" name="Tâche" totalsRowLabel="Total" dataDxfId="283" totalsRowDxfId="11"/>
    <tableColumn id="11" xr3:uid="{750A509C-EECA-4774-B11A-710E74628955}" name="Qui" dataDxfId="282" totalsRowDxfId="10"/>
    <tableColumn id="2" xr3:uid="{4366C649-7332-477E-BA69-6573DD868C11}" name="CI (h)" totalsRowFunction="sum" dataDxfId="281" totalsRowDxfId="9"/>
    <tableColumn id="3" xr3:uid="{F6698FA8-B003-4832-925A-E1D5E60F4446}" name="TPS Période(h)" totalsRowFunction="sum" dataDxfId="280" totalsRowDxfId="8"/>
    <tableColumn id="10" xr3:uid="{830FD1C3-942D-4F09-9A95-6287BB6835DD}" name="TPS Cumul (h)" totalsRowFunction="sum" dataDxfId="279" totalsRowDxfId="7">
      <calculatedColumnFormula>Octobre[[#This Row],[TPS Période(h)]]+Septembre[[#This Row],[TPS Cumul (h)]]</calculatedColumnFormula>
    </tableColumn>
    <tableColumn id="4" xr3:uid="{FDBA80E1-638A-4D63-9CA7-C292F9A66450}" name="RPS (h)" totalsRowFunction="sum" dataDxfId="278" totalsRowDxfId="6">
      <calculatedColumnFormula>MAX(Octobre[[#This Row],[CI (h)]]-Octobre[[#This Row],[TPS Cumul (h)]], 0)</calculatedColumnFormula>
    </tableColumn>
    <tableColumn id="5" xr3:uid="{A50E7CD9-39C6-4E0D-AEAA-03F9BE0975ED}" name="CR (h)" totalsRowFunction="sum" dataDxfId="277" totalsRowDxfId="5">
      <calculatedColumnFormula>Octobre[[#This Row],[TPS Cumul (h)]]+Octobre[[#This Row],[RPS (h)]]</calculatedColumnFormula>
    </tableColumn>
    <tableColumn id="6" xr3:uid="{561F191E-567F-45B6-84F8-9E5C246ACF8D}" name="EC (h)" totalsRowFunction="sum" dataDxfId="276" totalsRowDxfId="4">
      <calculatedColumnFormula>Octobre[[#This Row],[CI (h)]]-Octobre[[#This Row],[CR (h)]]</calculatedColumnFormula>
    </tableColumn>
    <tableColumn id="7" xr3:uid="{6B0DB239-6A3C-40FA-A572-68BD6F83360C}" name="PRU (€)" totalsRowFunction="sum" dataDxfId="275" totalsRowDxfId="3">
      <calculatedColumnFormula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calculatedColumnFormula>
    </tableColumn>
    <tableColumn id="9" xr3:uid="{91BDD92B-CF4D-487F-9010-18C10C85434D}" name="Coût Initial (€)" totalsRowFunction="sum" dataDxfId="274" totalsRowDxfId="2">
      <calculatedColumnFormula>Octobre[[#This Row],[CI (h)]]*Octobre[[#This Row],[PRU (€)]]</calculatedColumnFormula>
    </tableColumn>
    <tableColumn id="8" xr3:uid="{AA5D73F3-663C-4335-8584-F3172EEC471D}" name="Coût Révisé (€)" totalsRowFunction="sum" dataDxfId="273" totalsRowDxfId="1">
      <calculatedColumnFormula>Octobre[[#This Row],[CR (h)]]*Octobre[[#This Row],[PRU (€)]]</calculatedColumnFormula>
    </tableColumn>
    <tableColumn id="12" xr3:uid="{4943EA6C-9E33-4226-984F-F39729D2E460}" name="Coût Réel" totalsRowFunction="sum" dataDxfId="272" totalsRowDxfId="0">
      <calculatedColumnFormula>Octobre[[#This Row],[PRU (€)]]*Octobre[[#This Row],[TPS Cumul (h)]]</calculatedColumnFormula>
    </tableColumn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FEBB5F-6102-4118-B0B2-6E88F2B43387}" name="Novembre" displayName="Novembre" ref="B1:N32" totalsRowCount="1" headerRowDxfId="271" dataDxfId="269" headerRowBorderDxfId="270" tableBorderDxfId="268">
  <autoFilter ref="B1:N31" xr:uid="{EEFEBB5F-6102-4118-B0B2-6E88F2B43387}"/>
  <tableColumns count="13">
    <tableColumn id="1" xr3:uid="{86E0D464-B6E4-4A39-AB29-B042C254D4ED}" name="Tâche" totalsRowLabel="Total" dataDxfId="267" totalsRowDxfId="266"/>
    <tableColumn id="11" xr3:uid="{DBE98C2A-59EB-4056-BFC2-B00B5E38F3F3}" name="Qui" dataDxfId="265" totalsRowDxfId="264"/>
    <tableColumn id="2" xr3:uid="{C65FF9F7-A988-4ED6-8A39-ADBCA5298F00}" name="CI (h)" totalsRowFunction="sum" dataDxfId="263" totalsRowDxfId="262"/>
    <tableColumn id="3" xr3:uid="{1A9AFC11-DE95-46FD-840A-3DE50AAE7D6F}" name="TPS Période(h)" totalsRowFunction="sum" dataDxfId="261" totalsRowDxfId="260"/>
    <tableColumn id="10" xr3:uid="{DB6E5B42-9E5A-465D-BF52-66522F687E8D}" name="TPS Cumul (h)" totalsRowFunction="sum" dataDxfId="259" totalsRowDxfId="258">
      <calculatedColumnFormula>Novembre[[#This Row],[TPS Période(h)]]+Octobre[[#This Row],[TPS Cumul (h)]]</calculatedColumnFormula>
    </tableColumn>
    <tableColumn id="4" xr3:uid="{B272441A-F283-44E4-98CE-3A60797E5767}" name="RPS (h)" totalsRowFunction="sum" dataDxfId="257" totalsRowDxfId="256">
      <calculatedColumnFormula>MAX(Novembre[[#This Row],[CI (h)]]-Novembre[[#This Row],[TPS Cumul (h)]], 0)</calculatedColumnFormula>
    </tableColumn>
    <tableColumn id="5" xr3:uid="{E8EF3EF7-4E68-487B-B27F-0EFC05AFF678}" name="CR (h)" totalsRowFunction="sum" dataDxfId="255" totalsRowDxfId="254">
      <calculatedColumnFormula>Novembre[[#This Row],[TPS Cumul (h)]]+Novembre[[#This Row],[RPS (h)]]</calculatedColumnFormula>
    </tableColumn>
    <tableColumn id="6" xr3:uid="{D1DCFFE0-78E1-4114-854C-756CD01632FD}" name="EC (h)" totalsRowFunction="sum" dataDxfId="253" totalsRowDxfId="252">
      <calculatedColumnFormula>Novembre[[#This Row],[CI (h)]]-Novembre[[#This Row],[CR (h)]]</calculatedColumnFormula>
    </tableColumn>
    <tableColumn id="7" xr3:uid="{68D63153-636D-44FD-9BB3-4FAE3C1669CD}" name="PRU (€)" totalsRowFunction="sum" dataDxfId="251" totalsRowDxfId="250">
      <calculatedColumnFormula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calculatedColumnFormula>
    </tableColumn>
    <tableColumn id="9" xr3:uid="{01301F18-5144-43D9-AE20-790FFEDD42B7}" name="Coût Initial (€)" totalsRowFunction="sum" dataDxfId="249" totalsRowDxfId="248">
      <calculatedColumnFormula>Novembre[[#This Row],[CI (h)]]*Novembre[[#This Row],[PRU (€)]]</calculatedColumnFormula>
    </tableColumn>
    <tableColumn id="8" xr3:uid="{22968E9A-9F58-46ED-9501-CBF574188612}" name="Coût Révisé (€)" totalsRowFunction="sum" dataDxfId="247" totalsRowDxfId="246">
      <calculatedColumnFormula>Novembre[[#This Row],[CR (h)]]*Novembre[[#This Row],[PRU (€)]]</calculatedColumnFormula>
    </tableColumn>
    <tableColumn id="12" xr3:uid="{0157EB0B-7CAB-45DD-9DFA-1823238ABC31}" name="Coût Réel" totalsRowFunction="sum" dataDxfId="245" totalsRowDxfId="244">
      <calculatedColumnFormula>Novembre[[#This Row],[PRU (€)]]*Novembre[[#This Row],[TPS Cumul (h)]]</calculatedColumnFormula>
    </tableColumn>
    <tableColumn id="13" xr3:uid="{82ED09AD-B9DB-40C3-B176-96C2841CCA0C}" name="Validation" dataDxfId="243" totalsRowDxfId="242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C4FB9C-F75F-4AA1-8EDA-C1618C3FCD4B}" name="Décembre" displayName="Décembre" ref="B1:M32" totalsRowCount="1" headerRowDxfId="241" dataDxfId="239" headerRowBorderDxfId="240" tableBorderDxfId="238">
  <autoFilter ref="B1:M31" xr:uid="{4BC4FB9C-F75F-4AA1-8EDA-C1618C3FCD4B}"/>
  <tableColumns count="12">
    <tableColumn id="1" xr3:uid="{0EFAFAC2-3BB3-4A36-B5AA-F7B81EF395A1}" name="Tâche" totalsRowLabel="Total" dataDxfId="237" totalsRowDxfId="236"/>
    <tableColumn id="11" xr3:uid="{5970C30C-B759-4BC9-8B44-CA07FD1978EC}" name="Qui" dataDxfId="235" totalsRowDxfId="234"/>
    <tableColumn id="2" xr3:uid="{078DCB48-25C2-4181-B8EE-549B189D8173}" name="CI (h)" totalsRowFunction="sum" dataDxfId="233" totalsRowDxfId="232"/>
    <tableColumn id="3" xr3:uid="{42C70074-1FCA-46E4-90B1-AC960870EE3E}" name="TPS Période(h)" totalsRowFunction="sum" dataDxfId="231" totalsRowDxfId="230"/>
    <tableColumn id="10" xr3:uid="{A204E726-90C1-4FC7-A18F-DC4CC20FFDA1}" name="TPS Cumul (h)" totalsRowFunction="sum" dataDxfId="229" totalsRowDxfId="228">
      <calculatedColumnFormula>Décembre[[#This Row],[TPS Période(h)]]+Novembre[[#This Row],[TPS Cumul (h)]]</calculatedColumnFormula>
    </tableColumn>
    <tableColumn id="4" xr3:uid="{9AEF9562-C5CE-4EF3-9C8A-E3C34C92731B}" name="RPS (h)" totalsRowFunction="sum" dataDxfId="227" totalsRowDxfId="226">
      <calculatedColumnFormula>MAX(Décembre[[#This Row],[CI (h)]]-Décembre[[#This Row],[TPS Cumul (h)]], 0)</calculatedColumnFormula>
    </tableColumn>
    <tableColumn id="5" xr3:uid="{241889E1-24F7-48DA-9088-FBDD93C64BA3}" name="CR (h)" totalsRowFunction="sum" dataDxfId="225" totalsRowDxfId="224">
      <calculatedColumnFormula>Décembre[[#This Row],[TPS Cumul (h)]]+Décembre[[#This Row],[RPS (h)]]</calculatedColumnFormula>
    </tableColumn>
    <tableColumn id="6" xr3:uid="{8B691A50-7DAF-4CAA-9392-CA11162CF667}" name="EC (h)" totalsRowFunction="sum" dataDxfId="223" totalsRowDxfId="222">
      <calculatedColumnFormula>Décembre[[#This Row],[CI (h)]]-Décembre[[#This Row],[CR (h)]]</calculatedColumnFormula>
    </tableColumn>
    <tableColumn id="7" xr3:uid="{8629DFF0-852C-4C10-9947-B2417E94800D}" name="PRU (€)" totalsRowFunction="sum" dataDxfId="221" totalsRowDxfId="220">
      <calculatedColumnFormula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calculatedColumnFormula>
    </tableColumn>
    <tableColumn id="9" xr3:uid="{123EE978-ADB7-4DD2-9B50-2746205B719F}" name="Coût Initial (€)" totalsRowFunction="sum" dataDxfId="219" totalsRowDxfId="218">
      <calculatedColumnFormula>Décembre[[#This Row],[CI (h)]]*Décembre[[#This Row],[PRU (€)]]</calculatedColumnFormula>
    </tableColumn>
    <tableColumn id="8" xr3:uid="{66687084-CE7F-4BAD-99EC-93CCA41FC521}" name="Coût Révisé (€)" totalsRowFunction="sum" dataDxfId="217" totalsRowDxfId="216">
      <calculatedColumnFormula>Décembre[[#This Row],[CR (h)]]*Décembre[[#This Row],[PRU (€)]]</calculatedColumnFormula>
    </tableColumn>
    <tableColumn id="12" xr3:uid="{005F3B44-0009-49F0-97D0-030664C41979}" name="Coût Réel" totalsRowFunction="sum" dataDxfId="215" totalsRowDxfId="214">
      <calculatedColumnFormula>Décembre[[#This Row],[PRU (€)]]*Décembre[[#This Row],[TPS Cumul (h)]]</calculatedColumnFormula>
    </tableColumn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F7A17EC-A5C1-49E5-96A6-A946D07D7AFF}" name="Janvier" displayName="Janvier" ref="B1:M32" totalsRowCount="1" headerRowDxfId="213" dataDxfId="211" headerRowBorderDxfId="212" tableBorderDxfId="210">
  <autoFilter ref="B1:M31" xr:uid="{9F7A17EC-A5C1-49E5-96A6-A946D07D7AFF}"/>
  <tableColumns count="12">
    <tableColumn id="1" xr3:uid="{D301C23A-AD92-4790-A6A6-DDA4FA8559FF}" name="Tâche" totalsRowLabel="Total" dataDxfId="209" totalsRowDxfId="208"/>
    <tableColumn id="11" xr3:uid="{D6D54EE8-B2D7-46D9-9040-0558FFDB18C1}" name="Qui" dataDxfId="207" totalsRowDxfId="206"/>
    <tableColumn id="2" xr3:uid="{FC2CC451-E9AE-450B-88F5-31E63291A3EE}" name="CI (h)" totalsRowFunction="sum" dataDxfId="205" totalsRowDxfId="204"/>
    <tableColumn id="3" xr3:uid="{E08EF8F7-926D-40E7-9109-74DA8C310667}" name="TPS Période(h)" totalsRowFunction="sum" dataDxfId="203" totalsRowDxfId="202"/>
    <tableColumn id="10" xr3:uid="{09FE026D-C41C-4ACD-99AB-CD3E263B1A1E}" name="TPS Cumul (h)" totalsRowFunction="sum" dataDxfId="201" totalsRowDxfId="200">
      <calculatedColumnFormula>Janvier[[#This Row],[TPS Période(h)]]+Décembre[[#This Row],[TPS Cumul (h)]]</calculatedColumnFormula>
    </tableColumn>
    <tableColumn id="4" xr3:uid="{A06FA71E-1114-4006-B8DD-11F911566B64}" name="RPS (h)" totalsRowFunction="sum" dataDxfId="199" totalsRowDxfId="198">
      <calculatedColumnFormula>MAX(Janvier[[#This Row],[CI (h)]]-Janvier[[#This Row],[TPS Cumul (h)]], 0)</calculatedColumnFormula>
    </tableColumn>
    <tableColumn id="5" xr3:uid="{4309D128-C40C-4ED5-99B1-A41157695E63}" name="CR (h)" totalsRowFunction="sum" dataDxfId="197" totalsRowDxfId="196">
      <calculatedColumnFormula>Janvier[[#This Row],[TPS Cumul (h)]]+Janvier[[#This Row],[RPS (h)]]</calculatedColumnFormula>
    </tableColumn>
    <tableColumn id="6" xr3:uid="{67EE8CA5-B675-4511-B83A-068C96C29C88}" name="EC (h)" totalsRowFunction="sum" dataDxfId="195" totalsRowDxfId="194">
      <calculatedColumnFormula>Janvier[[#This Row],[CI (h)]]-Janvier[[#This Row],[CR (h)]]</calculatedColumnFormula>
    </tableColumn>
    <tableColumn id="7" xr3:uid="{3FDFDAFC-E75E-4CF6-9558-BA30EA3F0AB1}" name="PRU (€)" totalsRowFunction="sum" dataDxfId="193" totalsRowDxfId="192">
      <calculatedColumnFormula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calculatedColumnFormula>
    </tableColumn>
    <tableColumn id="9" xr3:uid="{6F3DFC83-F952-41DD-A2E4-F21EA1033656}" name="Coût Initial (€)" totalsRowFunction="sum" dataDxfId="191" totalsRowDxfId="190">
      <calculatedColumnFormula>Janvier[[#This Row],[CI (h)]]*Janvier[[#This Row],[PRU (€)]]</calculatedColumnFormula>
    </tableColumn>
    <tableColumn id="8" xr3:uid="{D5DE6748-D2AD-49E7-8131-50AEDEC8AC55}" name="Coût Révisé (€)" totalsRowFunction="sum" dataDxfId="189" totalsRowDxfId="188">
      <calculatedColumnFormula>Janvier[[#This Row],[CR (h)]]*Janvier[[#This Row],[PRU (€)]]</calculatedColumnFormula>
    </tableColumn>
    <tableColumn id="12" xr3:uid="{91E604A4-37BD-40F8-8998-A13537E5C419}" name="Coût Réel" totalsRowFunction="sum" dataDxfId="187" totalsRowDxfId="186">
      <calculatedColumnFormula>Janvier[[#This Row],[PRU (€)]]*Janvier[[#This Row],[TPS Cumul (h)]]</calculatedColumnFormula>
    </tableColumn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A1E7212-4102-4552-AC06-E3AC7DFBFBBC}" name="Février" displayName="Février" ref="B1:M32" totalsRowCount="1" headerRowDxfId="185" dataDxfId="183" headerRowBorderDxfId="184" tableBorderDxfId="182">
  <autoFilter ref="B1:M31" xr:uid="{2A1E7212-4102-4552-AC06-E3AC7DFBFBBC}"/>
  <tableColumns count="12">
    <tableColumn id="1" xr3:uid="{684F5607-B19B-4185-8A38-FA01E9B67AE1}" name="Tâche" totalsRowLabel="Total" dataDxfId="181" totalsRowDxfId="180"/>
    <tableColumn id="11" xr3:uid="{DB439812-6DF2-416E-AA11-F89700E301AD}" name="Qui" dataDxfId="179" totalsRowDxfId="178"/>
    <tableColumn id="2" xr3:uid="{9962AB72-7576-43A1-8491-3014469B9425}" name="CI (h)" totalsRowFunction="sum" dataDxfId="177" totalsRowDxfId="176"/>
    <tableColumn id="3" xr3:uid="{4411C13A-38FD-4F69-9BF4-ED07FA7D90B7}" name="TPS Période(h)" totalsRowFunction="sum" dataDxfId="175" totalsRowDxfId="174"/>
    <tableColumn id="10" xr3:uid="{C067F968-FF26-4EC9-8100-4D4219444603}" name="TPS Cumul (h)" totalsRowFunction="sum" dataDxfId="173" totalsRowDxfId="172">
      <calculatedColumnFormula>Février[[#This Row],[TPS Période(h)]]+Janvier[[#This Row],[TPS Cumul (h)]]</calculatedColumnFormula>
    </tableColumn>
    <tableColumn id="4" xr3:uid="{450A696D-FC77-46CA-B5A9-C5329BD62008}" name="RPS (h)" totalsRowFunction="sum" dataDxfId="171" totalsRowDxfId="170">
      <calculatedColumnFormula>MAX(Février[[#This Row],[CI (h)]]-Février[[#This Row],[TPS Cumul (h)]], 0)</calculatedColumnFormula>
    </tableColumn>
    <tableColumn id="5" xr3:uid="{CC6BD24E-AE88-4F65-ABFA-73969380F2D6}" name="CR (h)" totalsRowFunction="sum" dataDxfId="169" totalsRowDxfId="168">
      <calculatedColumnFormula>Février[[#This Row],[TPS Cumul (h)]]+Février[[#This Row],[RPS (h)]]</calculatedColumnFormula>
    </tableColumn>
    <tableColumn id="6" xr3:uid="{D7B0F051-A03D-47EF-BE9C-9DBBC900898D}" name="EC (h)" totalsRowFunction="sum" dataDxfId="167" totalsRowDxfId="166">
      <calculatedColumnFormula>Février[[#This Row],[CI (h)]]-Février[[#This Row],[CR (h)]]</calculatedColumnFormula>
    </tableColumn>
    <tableColumn id="7" xr3:uid="{7C1C2A70-9EB7-4454-84DA-C0BC39430CCF}" name="PRU (€)" totalsRowFunction="sum" dataDxfId="165" totalsRowDxfId="164">
      <calculatedColumnFormula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calculatedColumnFormula>
    </tableColumn>
    <tableColumn id="9" xr3:uid="{67D66953-AB78-4C1C-BBE1-85014A8DA721}" name="Coût Initial (€)" totalsRowFunction="sum" dataDxfId="163" totalsRowDxfId="162">
      <calculatedColumnFormula>Février[[#This Row],[CI (h)]]*Février[[#This Row],[PRU (€)]]</calculatedColumnFormula>
    </tableColumn>
    <tableColumn id="8" xr3:uid="{50A346A3-B6D1-4E75-ACD0-7DE84A07BA67}" name="Coût Révisé (€)" totalsRowFunction="sum" dataDxfId="161" totalsRowDxfId="160">
      <calculatedColumnFormula>Février[[#This Row],[CR (h)]]*Février[[#This Row],[PRU (€)]]</calculatedColumnFormula>
    </tableColumn>
    <tableColumn id="12" xr3:uid="{DB33981F-1B47-4D9D-BCAE-30A4BD3E82D1}" name="Coût Réel" totalsRowFunction="sum" dataDxfId="159" totalsRowDxfId="158">
      <calculatedColumnFormula>Février[[#This Row],[PRU (€)]]*Février[[#This Row],[TPS Cumul (h)]]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32E7A-65CA-4F1A-8E80-C43D95D9412E}">
  <sheetPr>
    <tabColor rgb="FFFFC000"/>
  </sheetPr>
  <dimension ref="B3:R9"/>
  <sheetViews>
    <sheetView tabSelected="1" topLeftCell="A3" zoomScaleNormal="100" workbookViewId="0">
      <selection activeCell="J3" sqref="J3"/>
    </sheetView>
  </sheetViews>
  <sheetFormatPr baseColWidth="10" defaultColWidth="11.5" defaultRowHeight="15" x14ac:dyDescent="0.2"/>
  <cols>
    <col min="1" max="1" width="41.1640625" bestFit="1" customWidth="1"/>
    <col min="2" max="2" width="10.6640625" bestFit="1" customWidth="1"/>
    <col min="3" max="3" width="8.83203125" bestFit="1" customWidth="1"/>
    <col min="4" max="4" width="12.83203125" bestFit="1" customWidth="1"/>
    <col min="5" max="5" width="18.1640625" bestFit="1" customWidth="1"/>
    <col min="6" max="6" width="17.83203125" customWidth="1"/>
    <col min="7" max="7" width="19" bestFit="1" customWidth="1"/>
    <col min="8" max="8" width="19.5" bestFit="1" customWidth="1"/>
  </cols>
  <sheetData>
    <row r="3" spans="2:18" x14ac:dyDescent="0.2">
      <c r="B3" s="6" t="s">
        <v>0</v>
      </c>
      <c r="C3" s="6" t="s">
        <v>18</v>
      </c>
      <c r="D3" s="6" t="s">
        <v>6</v>
      </c>
      <c r="E3" s="6" t="s">
        <v>36</v>
      </c>
      <c r="F3" s="6" t="s">
        <v>25</v>
      </c>
      <c r="G3" s="6" t="s">
        <v>37</v>
      </c>
      <c r="H3" s="6" t="s">
        <v>39</v>
      </c>
      <c r="I3" s="6" t="s">
        <v>38</v>
      </c>
    </row>
    <row r="4" spans="2:18" x14ac:dyDescent="0.2">
      <c r="B4" s="6" t="s">
        <v>22</v>
      </c>
      <c r="C4" s="5">
        <f>Septembre[[#Totals],[Coût Réel]]</f>
        <v>1088</v>
      </c>
      <c r="D4" s="5">
        <f>Septembre[[#Totals],[CI (h)]]</f>
        <v>120</v>
      </c>
      <c r="E4" s="5">
        <f>Septembre[[#Totals],[TPS Cumul (h)]]</f>
        <v>16</v>
      </c>
      <c r="F4" s="5">
        <f>-Septembre[[#Totals],[EC (h)]]</f>
        <v>1</v>
      </c>
      <c r="G4" s="5">
        <f>Septembre[[#Totals],[CR (h)]]</f>
        <v>121</v>
      </c>
      <c r="H4" s="10">
        <f>IFERROR(E4/D4,0)</f>
        <v>0.13333333333333333</v>
      </c>
      <c r="I4" s="5">
        <f>Septembre[[#Totals],[Coût Initial (€)]]</f>
        <v>8160</v>
      </c>
    </row>
    <row r="5" spans="2:18" x14ac:dyDescent="0.2">
      <c r="B5" s="6" t="s">
        <v>1</v>
      </c>
      <c r="C5" s="5">
        <v>1440</v>
      </c>
      <c r="D5" s="5">
        <v>120</v>
      </c>
      <c r="E5" s="5">
        <v>29</v>
      </c>
      <c r="F5" s="5">
        <v>-18</v>
      </c>
      <c r="G5" s="5">
        <v>103</v>
      </c>
      <c r="H5" s="10">
        <v>0.2416666667</v>
      </c>
      <c r="I5" s="5">
        <v>3840</v>
      </c>
      <c r="L5" s="39"/>
      <c r="M5" s="39"/>
      <c r="N5" s="39"/>
      <c r="O5" s="39"/>
      <c r="P5" s="39"/>
      <c r="Q5" s="40"/>
      <c r="R5" s="39"/>
    </row>
    <row r="6" spans="2:18" x14ac:dyDescent="0.2">
      <c r="B6" s="6" t="s">
        <v>2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L6" s="39"/>
      <c r="M6" s="39"/>
      <c r="N6" s="39"/>
      <c r="O6" s="39"/>
      <c r="P6" s="39"/>
      <c r="Q6" s="40"/>
      <c r="R6" s="39"/>
    </row>
    <row r="7" spans="2:18" x14ac:dyDescent="0.2">
      <c r="B7" s="6" t="s">
        <v>3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L7" s="39"/>
      <c r="M7" s="39"/>
      <c r="N7" s="39"/>
      <c r="O7" s="39"/>
      <c r="P7" s="39"/>
      <c r="Q7" s="40"/>
      <c r="R7" s="39"/>
    </row>
    <row r="8" spans="2:18" x14ac:dyDescent="0.2">
      <c r="B8" s="6" t="s">
        <v>4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L8" s="39"/>
      <c r="M8" s="39"/>
      <c r="N8" s="39"/>
      <c r="O8" s="39"/>
      <c r="P8" s="39"/>
      <c r="Q8" s="40"/>
      <c r="R8" s="39"/>
    </row>
    <row r="9" spans="2:18" x14ac:dyDescent="0.2">
      <c r="B9" s="6" t="s">
        <v>5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L9" s="39"/>
      <c r="M9" s="39"/>
      <c r="N9" s="39"/>
      <c r="O9" s="39"/>
      <c r="P9" s="39"/>
      <c r="Q9" s="40"/>
      <c r="R9" s="39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638D9-B873-4F0A-860F-063F02CD63DC}">
  <dimension ref="A1:N38"/>
  <sheetViews>
    <sheetView topLeftCell="B1" zoomScale="86" zoomScaleNormal="100" workbookViewId="0">
      <selection activeCell="B4" sqref="B4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22.6640625" bestFit="1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3" max="13" width="13.6640625" customWidth="1"/>
    <col min="14" max="14" width="15.5" customWidth="1"/>
  </cols>
  <sheetData>
    <row r="1" spans="1:14" x14ac:dyDescent="0.2">
      <c r="A1" s="9" t="s">
        <v>27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2" t="s">
        <v>16</v>
      </c>
      <c r="L1" s="12" t="s">
        <v>17</v>
      </c>
      <c r="M1" s="12" t="s">
        <v>18</v>
      </c>
      <c r="N1" s="17" t="s">
        <v>34</v>
      </c>
    </row>
    <row r="2" spans="1:14" x14ac:dyDescent="0.2">
      <c r="A2" s="25" t="s">
        <v>28</v>
      </c>
      <c r="B2" s="8" t="s">
        <v>45</v>
      </c>
      <c r="C2" t="s">
        <v>19</v>
      </c>
      <c r="D2" s="4">
        <v>1</v>
      </c>
      <c r="E2" s="4">
        <v>1</v>
      </c>
      <c r="F2" s="4">
        <f>Septembre[[#This Row],[TPS Période(h)]]</f>
        <v>1</v>
      </c>
      <c r="G2" s="4">
        <f>MAX(Septembre[[#This Row],[CI (h)]]-Septembre[[#This Row],[TPS Cumul (h)]], 0)</f>
        <v>0</v>
      </c>
      <c r="H2" s="4">
        <f>Septembre[[#This Row],[TPS Cumul (h)]]+Septembre[[#This Row],[RPS (h)]]</f>
        <v>1</v>
      </c>
      <c r="I2" s="4">
        <f>Septembre[[#This Row],[CI (h)]]-Septembre[[#This Row],[CR (h)]]</f>
        <v>0</v>
      </c>
      <c r="J2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" s="4">
        <f>Septembre[[#This Row],[CI (h)]]*Septembre[[#This Row],[PRU (€)]]</f>
        <v>68</v>
      </c>
      <c r="L2" s="4">
        <f>Septembre[[#This Row],[CR (h)]]*Septembre[[#This Row],[PRU (€)]]</f>
        <v>68</v>
      </c>
      <c r="M2" s="16">
        <f>Septembre[[#This Row],[PRU (€)]]*Septembre[[#This Row],[TPS Cumul (h)]]</f>
        <v>68</v>
      </c>
      <c r="N2" s="3" t="s">
        <v>42</v>
      </c>
    </row>
    <row r="3" spans="1:14" x14ac:dyDescent="0.2">
      <c r="A3" s="25"/>
      <c r="B3" s="8" t="s">
        <v>46</v>
      </c>
      <c r="C3" t="s">
        <v>19</v>
      </c>
      <c r="D3" s="4">
        <v>10</v>
      </c>
      <c r="E3" s="4">
        <v>9</v>
      </c>
      <c r="F3" s="4">
        <f>Septembre[[#This Row],[TPS Période(h)]]</f>
        <v>9</v>
      </c>
      <c r="G3" s="4">
        <f>MAX(Septembre[[#This Row],[CI (h)]]-Septembre[[#This Row],[TPS Cumul (h)]], 0)</f>
        <v>1</v>
      </c>
      <c r="H3" s="4">
        <f>Septembre[[#This Row],[TPS Cumul (h)]]+Septembre[[#This Row],[RPS (h)]]</f>
        <v>10</v>
      </c>
      <c r="I3" s="4">
        <f>Septembre[[#This Row],[CI (h)]]-Septembre[[#This Row],[CR (h)]]</f>
        <v>0</v>
      </c>
      <c r="J3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3" s="4">
        <f>Septembre[[#This Row],[CI (h)]]*Septembre[[#This Row],[PRU (€)]]</f>
        <v>680</v>
      </c>
      <c r="L3" s="4">
        <f>Septembre[[#This Row],[CR (h)]]*Septembre[[#This Row],[PRU (€)]]</f>
        <v>680</v>
      </c>
      <c r="M3" s="16">
        <f>Septembre[[#This Row],[PRU (€)]]*Septembre[[#This Row],[TPS Cumul (h)]]</f>
        <v>612</v>
      </c>
      <c r="N3" s="3" t="s">
        <v>42</v>
      </c>
    </row>
    <row r="4" spans="1:14" x14ac:dyDescent="0.2">
      <c r="A4" s="27" t="s">
        <v>20</v>
      </c>
      <c r="B4" s="8" t="s">
        <v>47</v>
      </c>
      <c r="C4" t="s">
        <v>19</v>
      </c>
      <c r="D4" s="4">
        <v>5</v>
      </c>
      <c r="E4" s="4">
        <v>6</v>
      </c>
      <c r="F4" s="4">
        <f>Septembre[[#This Row],[TPS Période(h)]]</f>
        <v>6</v>
      </c>
      <c r="G4" s="4">
        <f>MAX(Septembre[[#This Row],[CI (h)]]-Septembre[[#This Row],[TPS Cumul (h)]], 0)</f>
        <v>0</v>
      </c>
      <c r="H4" s="4">
        <f>Septembre[[#This Row],[TPS Cumul (h)]]+Septembre[[#This Row],[RPS (h)]]</f>
        <v>6</v>
      </c>
      <c r="I4" s="4">
        <f>Septembre[[#This Row],[CI (h)]]-Septembre[[#This Row],[CR (h)]]</f>
        <v>-1</v>
      </c>
      <c r="J4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4" s="4">
        <f>Septembre[[#This Row],[CI (h)]]*Septembre[[#This Row],[PRU (€)]]</f>
        <v>340</v>
      </c>
      <c r="L4" s="4">
        <f>Septembre[[#This Row],[CR (h)]]*Septembre[[#This Row],[PRU (€)]]</f>
        <v>408</v>
      </c>
      <c r="M4" s="16">
        <f>Septembre[[#This Row],[PRU (€)]]*Septembre[[#This Row],[TPS Cumul (h)]]</f>
        <v>408</v>
      </c>
      <c r="N4" s="3" t="s">
        <v>42</v>
      </c>
    </row>
    <row r="5" spans="1:14" x14ac:dyDescent="0.2">
      <c r="A5" s="27"/>
      <c r="B5" s="8" t="s">
        <v>48</v>
      </c>
      <c r="C5" t="s">
        <v>19</v>
      </c>
      <c r="D5" s="4">
        <v>1</v>
      </c>
      <c r="E5" s="4">
        <v>0</v>
      </c>
      <c r="F5" s="4">
        <f>Septembre[[#This Row],[TPS Période(h)]]</f>
        <v>0</v>
      </c>
      <c r="G5" s="4">
        <f>MAX(Septembre[[#This Row],[CI (h)]]-Septembre[[#This Row],[TPS Cumul (h)]], 0)</f>
        <v>1</v>
      </c>
      <c r="H5" s="4">
        <f>Septembre[[#This Row],[TPS Cumul (h)]]+Septembre[[#This Row],[RPS (h)]]</f>
        <v>1</v>
      </c>
      <c r="I5" s="4">
        <f>Septembre[[#This Row],[CI (h)]]-Septembre[[#This Row],[CR (h)]]</f>
        <v>0</v>
      </c>
      <c r="J5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5" s="4">
        <f>Septembre[[#This Row],[CI (h)]]*Septembre[[#This Row],[PRU (€)]]</f>
        <v>68</v>
      </c>
      <c r="L5" s="4">
        <f>Septembre[[#This Row],[CR (h)]]*Septembre[[#This Row],[PRU (€)]]</f>
        <v>68</v>
      </c>
      <c r="M5" s="16">
        <f>Septembre[[#This Row],[PRU (€)]]*Septembre[[#This Row],[TPS Cumul (h)]]</f>
        <v>0</v>
      </c>
      <c r="N5" s="3" t="s">
        <v>43</v>
      </c>
    </row>
    <row r="6" spans="1:14" x14ac:dyDescent="0.2">
      <c r="A6" s="27"/>
      <c r="B6" s="8" t="s">
        <v>49</v>
      </c>
      <c r="C6" t="s">
        <v>19</v>
      </c>
      <c r="D6" s="4">
        <v>2</v>
      </c>
      <c r="E6" s="4">
        <v>0</v>
      </c>
      <c r="F6" s="4">
        <f>Septembre[[#This Row],[TPS Période(h)]]</f>
        <v>0</v>
      </c>
      <c r="G6" s="4">
        <f>MAX(Septembre[[#This Row],[CI (h)]]-Septembre[[#This Row],[TPS Cumul (h)]], 0)</f>
        <v>2</v>
      </c>
      <c r="H6" s="4">
        <f>Septembre[[#This Row],[TPS Cumul (h)]]+Septembre[[#This Row],[RPS (h)]]</f>
        <v>2</v>
      </c>
      <c r="I6" s="4">
        <f>Septembre[[#This Row],[CI (h)]]-Septembre[[#This Row],[CR (h)]]</f>
        <v>0</v>
      </c>
      <c r="J6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6" s="4">
        <f>Septembre[[#This Row],[CI (h)]]*Septembre[[#This Row],[PRU (€)]]</f>
        <v>136</v>
      </c>
      <c r="L6" s="4">
        <f>Septembre[[#This Row],[CR (h)]]*Septembre[[#This Row],[PRU (€)]]</f>
        <v>136</v>
      </c>
      <c r="M6" s="16">
        <f>Septembre[[#This Row],[PRU (€)]]*Septembre[[#This Row],[TPS Cumul (h)]]</f>
        <v>0</v>
      </c>
      <c r="N6" s="3" t="s">
        <v>43</v>
      </c>
    </row>
    <row r="7" spans="1:14" x14ac:dyDescent="0.2">
      <c r="A7" s="27"/>
      <c r="B7" s="8" t="s">
        <v>50</v>
      </c>
      <c r="C7" t="s">
        <v>19</v>
      </c>
      <c r="D7" s="4">
        <v>2</v>
      </c>
      <c r="E7" s="4">
        <v>0</v>
      </c>
      <c r="F7" s="4">
        <f>Septembre[[#This Row],[TPS Période(h)]]</f>
        <v>0</v>
      </c>
      <c r="G7" s="4">
        <f>MAX(Septembre[[#This Row],[CI (h)]]-Septembre[[#This Row],[TPS Cumul (h)]], 0)</f>
        <v>2</v>
      </c>
      <c r="H7" s="4">
        <f>Septembre[[#This Row],[TPS Cumul (h)]]+Septembre[[#This Row],[RPS (h)]]</f>
        <v>2</v>
      </c>
      <c r="I7" s="4">
        <f>Septembre[[#This Row],[CI (h)]]-Septembre[[#This Row],[CR (h)]]</f>
        <v>0</v>
      </c>
      <c r="J7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7" s="4">
        <f>Septembre[[#This Row],[CI (h)]]*Septembre[[#This Row],[PRU (€)]]</f>
        <v>136</v>
      </c>
      <c r="L7" s="4">
        <f>Septembre[[#This Row],[CR (h)]]*Septembre[[#This Row],[PRU (€)]]</f>
        <v>136</v>
      </c>
      <c r="M7" s="16">
        <f>Septembre[[#This Row],[PRU (€)]]*Septembre[[#This Row],[TPS Cumul (h)]]</f>
        <v>0</v>
      </c>
      <c r="N7" s="3" t="s">
        <v>43</v>
      </c>
    </row>
    <row r="8" spans="1:14" x14ac:dyDescent="0.2">
      <c r="A8" s="27"/>
      <c r="B8" s="8" t="s">
        <v>51</v>
      </c>
      <c r="C8" t="s">
        <v>19</v>
      </c>
      <c r="D8" s="4">
        <v>2</v>
      </c>
      <c r="E8" s="4">
        <v>0</v>
      </c>
      <c r="F8" s="4">
        <f>Septembre[[#This Row],[TPS Période(h)]]</f>
        <v>0</v>
      </c>
      <c r="G8" s="4">
        <f>MAX(Septembre[[#This Row],[CI (h)]]-Septembre[[#This Row],[TPS Cumul (h)]], 0)</f>
        <v>2</v>
      </c>
      <c r="H8" s="4">
        <f>Septembre[[#This Row],[TPS Cumul (h)]]+Septembre[[#This Row],[RPS (h)]]</f>
        <v>2</v>
      </c>
      <c r="I8" s="4">
        <f>Septembre[[#This Row],[CI (h)]]-Septembre[[#This Row],[CR (h)]]</f>
        <v>0</v>
      </c>
      <c r="J8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8" s="4">
        <f>Septembre[[#This Row],[CI (h)]]*Septembre[[#This Row],[PRU (€)]]</f>
        <v>136</v>
      </c>
      <c r="L8" s="4">
        <f>Septembre[[#This Row],[CR (h)]]*Septembre[[#This Row],[PRU (€)]]</f>
        <v>136</v>
      </c>
      <c r="M8" s="16">
        <f>Septembre[[#This Row],[PRU (€)]]*Septembre[[#This Row],[TPS Cumul (h)]]</f>
        <v>0</v>
      </c>
      <c r="N8" s="3" t="s">
        <v>43</v>
      </c>
    </row>
    <row r="9" spans="1:14" x14ac:dyDescent="0.2">
      <c r="A9" s="27"/>
      <c r="B9" s="8" t="s">
        <v>52</v>
      </c>
      <c r="C9" t="s">
        <v>19</v>
      </c>
      <c r="D9" s="4">
        <v>2</v>
      </c>
      <c r="E9" s="4">
        <v>0</v>
      </c>
      <c r="F9" s="4">
        <f>Septembre[[#This Row],[TPS Période(h)]]</f>
        <v>0</v>
      </c>
      <c r="G9" s="4">
        <f>MAX(Septembre[[#This Row],[CI (h)]]-Septembre[[#This Row],[TPS Cumul (h)]], 0)</f>
        <v>2</v>
      </c>
      <c r="H9" s="4">
        <f>Septembre[[#This Row],[TPS Cumul (h)]]+Septembre[[#This Row],[RPS (h)]]</f>
        <v>2</v>
      </c>
      <c r="I9" s="4">
        <f>Septembre[[#This Row],[CI (h)]]-Septembre[[#This Row],[CR (h)]]</f>
        <v>0</v>
      </c>
      <c r="J9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9" s="4">
        <f>Septembre[[#This Row],[CI (h)]]*Septembre[[#This Row],[PRU (€)]]</f>
        <v>136</v>
      </c>
      <c r="L9" s="4">
        <f>Septembre[[#This Row],[CR (h)]]*Septembre[[#This Row],[PRU (€)]]</f>
        <v>136</v>
      </c>
      <c r="M9" s="16">
        <f>Septembre[[#This Row],[PRU (€)]]*Septembre[[#This Row],[TPS Cumul (h)]]</f>
        <v>0</v>
      </c>
      <c r="N9" s="3" t="s">
        <v>43</v>
      </c>
    </row>
    <row r="10" spans="1:14" x14ac:dyDescent="0.2">
      <c r="A10" s="30" t="s">
        <v>29</v>
      </c>
      <c r="B10" s="8" t="s">
        <v>53</v>
      </c>
      <c r="C10" t="s">
        <v>19</v>
      </c>
      <c r="D10" s="4">
        <v>4</v>
      </c>
      <c r="E10" s="4">
        <v>0</v>
      </c>
      <c r="F10" s="4">
        <f>Septembre[[#This Row],[TPS Période(h)]]</f>
        <v>0</v>
      </c>
      <c r="G10" s="4">
        <f>MAX(Septembre[[#This Row],[CI (h)]]-Septembre[[#This Row],[TPS Cumul (h)]], 0)</f>
        <v>4</v>
      </c>
      <c r="H10" s="4">
        <f>Septembre[[#This Row],[TPS Cumul (h)]]+Septembre[[#This Row],[RPS (h)]]</f>
        <v>4</v>
      </c>
      <c r="I10" s="4">
        <f>Septembre[[#This Row],[CI (h)]]-Septembre[[#This Row],[CR (h)]]</f>
        <v>0</v>
      </c>
      <c r="J10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0" s="4">
        <f>Septembre[[#This Row],[CI (h)]]*Septembre[[#This Row],[PRU (€)]]</f>
        <v>272</v>
      </c>
      <c r="L10" s="4">
        <f>Septembre[[#This Row],[CR (h)]]*Septembre[[#This Row],[PRU (€)]]</f>
        <v>272</v>
      </c>
      <c r="M10" s="16">
        <f>Septembre[[#This Row],[PRU (€)]]*Septembre[[#This Row],[TPS Cumul (h)]]</f>
        <v>0</v>
      </c>
      <c r="N10" s="3" t="s">
        <v>43</v>
      </c>
    </row>
    <row r="11" spans="1:14" x14ac:dyDescent="0.2">
      <c r="A11" s="30"/>
      <c r="B11" s="8" t="s">
        <v>54</v>
      </c>
      <c r="C11" t="s">
        <v>19</v>
      </c>
      <c r="D11" s="4">
        <v>4</v>
      </c>
      <c r="E11" s="4">
        <v>0</v>
      </c>
      <c r="F11" s="4">
        <f>Septembre[[#This Row],[TPS Période(h)]]</f>
        <v>0</v>
      </c>
      <c r="G11" s="4">
        <f>MAX(Septembre[[#This Row],[CI (h)]]-Septembre[[#This Row],[TPS Cumul (h)]], 0)</f>
        <v>4</v>
      </c>
      <c r="H11" s="4">
        <f>Septembre[[#This Row],[TPS Cumul (h)]]+Septembre[[#This Row],[RPS (h)]]</f>
        <v>4</v>
      </c>
      <c r="I11" s="4">
        <f>Septembre[[#This Row],[CI (h)]]-Septembre[[#This Row],[CR (h)]]</f>
        <v>0</v>
      </c>
      <c r="J11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1" s="4">
        <f>Septembre[[#This Row],[CI (h)]]*Septembre[[#This Row],[PRU (€)]]</f>
        <v>272</v>
      </c>
      <c r="L11" s="4">
        <f>Septembre[[#This Row],[CR (h)]]*Septembre[[#This Row],[PRU (€)]]</f>
        <v>272</v>
      </c>
      <c r="M11" s="16">
        <f>Septembre[[#This Row],[PRU (€)]]*Septembre[[#This Row],[TPS Cumul (h)]]</f>
        <v>0</v>
      </c>
      <c r="N11" s="3" t="s">
        <v>43</v>
      </c>
    </row>
    <row r="12" spans="1:14" x14ac:dyDescent="0.2">
      <c r="A12" s="30"/>
      <c r="B12" s="8" t="s">
        <v>55</v>
      </c>
      <c r="C12" t="s">
        <v>19</v>
      </c>
      <c r="D12" s="4">
        <v>1</v>
      </c>
      <c r="E12" s="4">
        <v>0</v>
      </c>
      <c r="F12" s="4">
        <f>Septembre[[#This Row],[TPS Période(h)]]</f>
        <v>0</v>
      </c>
      <c r="G12" s="4">
        <f>MAX(Septembre[[#This Row],[CI (h)]]-Septembre[[#This Row],[TPS Cumul (h)]], 0)</f>
        <v>1</v>
      </c>
      <c r="H12" s="4">
        <f>Septembre[[#This Row],[TPS Cumul (h)]]+Septembre[[#This Row],[RPS (h)]]</f>
        <v>1</v>
      </c>
      <c r="I12" s="4">
        <f>Septembre[[#This Row],[CI (h)]]-Septembre[[#This Row],[CR (h)]]</f>
        <v>0</v>
      </c>
      <c r="J12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2" s="4">
        <f>Septembre[[#This Row],[CI (h)]]*Septembre[[#This Row],[PRU (€)]]</f>
        <v>68</v>
      </c>
      <c r="L12" s="4">
        <f>Septembre[[#This Row],[CR (h)]]*Septembre[[#This Row],[PRU (€)]]</f>
        <v>68</v>
      </c>
      <c r="M12" s="16">
        <f>Septembre[[#This Row],[PRU (€)]]*Septembre[[#This Row],[TPS Cumul (h)]]</f>
        <v>0</v>
      </c>
      <c r="N12" s="3" t="s">
        <v>43</v>
      </c>
    </row>
    <row r="13" spans="1:14" x14ac:dyDescent="0.2">
      <c r="A13" s="30"/>
      <c r="B13" s="8" t="s">
        <v>56</v>
      </c>
      <c r="C13" t="s">
        <v>19</v>
      </c>
      <c r="D13" s="4">
        <v>2</v>
      </c>
      <c r="E13" s="4">
        <v>0</v>
      </c>
      <c r="F13" s="4">
        <f>Septembre[[#This Row],[TPS Période(h)]]</f>
        <v>0</v>
      </c>
      <c r="G13" s="4">
        <f>MAX(Septembre[[#This Row],[CI (h)]]-Septembre[[#This Row],[TPS Cumul (h)]], 0)</f>
        <v>2</v>
      </c>
      <c r="H13" s="4">
        <f>Septembre[[#This Row],[TPS Cumul (h)]]+Septembre[[#This Row],[RPS (h)]]</f>
        <v>2</v>
      </c>
      <c r="I13" s="4">
        <f>Septembre[[#This Row],[CI (h)]]-Septembre[[#This Row],[CR (h)]]</f>
        <v>0</v>
      </c>
      <c r="J13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3" s="4">
        <f>Septembre[[#This Row],[CI (h)]]*Septembre[[#This Row],[PRU (€)]]</f>
        <v>136</v>
      </c>
      <c r="L13" s="4">
        <f>Septembre[[#This Row],[CR (h)]]*Septembre[[#This Row],[PRU (€)]]</f>
        <v>136</v>
      </c>
      <c r="M13" s="16">
        <f>Septembre[[#This Row],[PRU (€)]]*Septembre[[#This Row],[TPS Cumul (h)]]</f>
        <v>0</v>
      </c>
      <c r="N13" s="3" t="s">
        <v>43</v>
      </c>
    </row>
    <row r="14" spans="1:14" x14ac:dyDescent="0.2">
      <c r="A14" s="26" t="s">
        <v>30</v>
      </c>
      <c r="B14" s="8" t="s">
        <v>57</v>
      </c>
      <c r="C14" t="s">
        <v>19</v>
      </c>
      <c r="D14" s="4">
        <v>7</v>
      </c>
      <c r="E14" s="4">
        <v>0</v>
      </c>
      <c r="F14" s="4">
        <f>Septembre[[#This Row],[TPS Période(h)]]</f>
        <v>0</v>
      </c>
      <c r="G14" s="4">
        <f>MAX(Septembre[[#This Row],[CI (h)]]-Septembre[[#This Row],[TPS Cumul (h)]], 0)</f>
        <v>7</v>
      </c>
      <c r="H14" s="4">
        <f>Septembre[[#This Row],[TPS Cumul (h)]]+Septembre[[#This Row],[RPS (h)]]</f>
        <v>7</v>
      </c>
      <c r="I14" s="4">
        <f>Septembre[[#This Row],[CI (h)]]-Septembre[[#This Row],[CR (h)]]</f>
        <v>0</v>
      </c>
      <c r="J14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4" s="4">
        <f>Septembre[[#This Row],[CI (h)]]*Septembre[[#This Row],[PRU (€)]]</f>
        <v>476</v>
      </c>
      <c r="L14" s="4">
        <f>Septembre[[#This Row],[CR (h)]]*Septembre[[#This Row],[PRU (€)]]</f>
        <v>476</v>
      </c>
      <c r="M14" s="16">
        <f>Septembre[[#This Row],[PRU (€)]]*Septembre[[#This Row],[TPS Cumul (h)]]</f>
        <v>0</v>
      </c>
      <c r="N14" s="3" t="s">
        <v>43</v>
      </c>
    </row>
    <row r="15" spans="1:14" x14ac:dyDescent="0.2">
      <c r="A15" s="26"/>
      <c r="B15" s="8" t="s">
        <v>58</v>
      </c>
      <c r="C15" t="s">
        <v>19</v>
      </c>
      <c r="D15" s="4">
        <v>7</v>
      </c>
      <c r="E15" s="4">
        <v>0</v>
      </c>
      <c r="F15" s="4">
        <f>Septembre[[#This Row],[TPS Période(h)]]</f>
        <v>0</v>
      </c>
      <c r="G15" s="4">
        <f>MAX(Septembre[[#This Row],[CI (h)]]-Septembre[[#This Row],[TPS Cumul (h)]], 0)</f>
        <v>7</v>
      </c>
      <c r="H15" s="4">
        <f>Septembre[[#This Row],[TPS Cumul (h)]]+Septembre[[#This Row],[RPS (h)]]</f>
        <v>7</v>
      </c>
      <c r="I15" s="4">
        <f>Septembre[[#This Row],[CI (h)]]-Septembre[[#This Row],[CR (h)]]</f>
        <v>0</v>
      </c>
      <c r="J15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5" s="4">
        <f>Septembre[[#This Row],[CI (h)]]*Septembre[[#This Row],[PRU (€)]]</f>
        <v>476</v>
      </c>
      <c r="L15" s="4">
        <f>Septembre[[#This Row],[CR (h)]]*Septembre[[#This Row],[PRU (€)]]</f>
        <v>476</v>
      </c>
      <c r="M15" s="16">
        <f>Septembre[[#This Row],[PRU (€)]]*Septembre[[#This Row],[TPS Cumul (h)]]</f>
        <v>0</v>
      </c>
      <c r="N15" s="3" t="s">
        <v>43</v>
      </c>
    </row>
    <row r="16" spans="1:14" x14ac:dyDescent="0.2">
      <c r="A16" s="26"/>
      <c r="B16" s="8" t="s">
        <v>59</v>
      </c>
      <c r="C16" t="s">
        <v>19</v>
      </c>
      <c r="D16" s="19">
        <v>4</v>
      </c>
      <c r="E16" s="19">
        <v>0</v>
      </c>
      <c r="F16" s="19">
        <f>Septembre[[#This Row],[TPS Période(h)]]</f>
        <v>0</v>
      </c>
      <c r="G16" s="19">
        <f>MAX(Septembre[[#This Row],[CI (h)]]-Septembre[[#This Row],[TPS Cumul (h)]], 0)</f>
        <v>4</v>
      </c>
      <c r="H16" s="19">
        <f>Septembre[[#This Row],[TPS Cumul (h)]]+Septembre[[#This Row],[RPS (h)]]</f>
        <v>4</v>
      </c>
      <c r="I16" s="19">
        <f>Septembre[[#This Row],[CI (h)]]-Septembre[[#This Row],[CR (h)]]</f>
        <v>0</v>
      </c>
      <c r="J16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6" s="4">
        <f>Septembre[[#This Row],[CI (h)]]*Septembre[[#This Row],[PRU (€)]]</f>
        <v>272</v>
      </c>
      <c r="L16" s="19">
        <f>Septembre[[#This Row],[CR (h)]]*Septembre[[#This Row],[PRU (€)]]</f>
        <v>272</v>
      </c>
      <c r="M16" s="19">
        <f>Septembre[[#This Row],[PRU (€)]]*Septembre[[#This Row],[TPS Cumul (h)]]</f>
        <v>0</v>
      </c>
      <c r="N16" s="3" t="s">
        <v>43</v>
      </c>
    </row>
    <row r="17" spans="1:14" x14ac:dyDescent="0.2">
      <c r="A17" s="26"/>
      <c r="B17" s="8" t="s">
        <v>60</v>
      </c>
      <c r="C17" t="s">
        <v>19</v>
      </c>
      <c r="D17" s="4">
        <v>3</v>
      </c>
      <c r="E17" s="4">
        <v>0</v>
      </c>
      <c r="F17" s="4">
        <f>Septembre[[#This Row],[TPS Période(h)]]</f>
        <v>0</v>
      </c>
      <c r="G17" s="4">
        <f>MAX(Septembre[[#This Row],[CI (h)]]-Septembre[[#This Row],[TPS Cumul (h)]], 0)</f>
        <v>3</v>
      </c>
      <c r="H17" s="4">
        <f>Septembre[[#This Row],[TPS Cumul (h)]]+Septembre[[#This Row],[RPS (h)]]</f>
        <v>3</v>
      </c>
      <c r="I17" s="4">
        <f>Septembre[[#This Row],[CI (h)]]-Septembre[[#This Row],[CR (h)]]</f>
        <v>0</v>
      </c>
      <c r="J17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7" s="4">
        <f>Septembre[[#This Row],[CI (h)]]*Septembre[[#This Row],[PRU (€)]]</f>
        <v>204</v>
      </c>
      <c r="L17" s="4">
        <f>Septembre[[#This Row],[CR (h)]]*Septembre[[#This Row],[PRU (€)]]</f>
        <v>204</v>
      </c>
      <c r="M17" s="16">
        <f>Septembre[[#This Row],[PRU (€)]]*Septembre[[#This Row],[TPS Cumul (h)]]</f>
        <v>0</v>
      </c>
      <c r="N17" s="3" t="s">
        <v>43</v>
      </c>
    </row>
    <row r="18" spans="1:14" x14ac:dyDescent="0.2">
      <c r="A18" s="31" t="s">
        <v>31</v>
      </c>
      <c r="B18" s="8" t="s">
        <v>61</v>
      </c>
      <c r="C18" t="s">
        <v>19</v>
      </c>
      <c r="D18" s="4">
        <v>10</v>
      </c>
      <c r="E18" s="4">
        <v>0</v>
      </c>
      <c r="F18" s="4">
        <f>Septembre[[#This Row],[TPS Période(h)]]</f>
        <v>0</v>
      </c>
      <c r="G18" s="4">
        <f>MAX(Septembre[[#This Row],[CI (h)]]-Septembre[[#This Row],[TPS Cumul (h)]], 0)</f>
        <v>10</v>
      </c>
      <c r="H18" s="4">
        <f>Septembre[[#This Row],[TPS Cumul (h)]]+Septembre[[#This Row],[RPS (h)]]</f>
        <v>10</v>
      </c>
      <c r="I18" s="4">
        <f>Septembre[[#This Row],[CI (h)]]-Septembre[[#This Row],[CR (h)]]</f>
        <v>0</v>
      </c>
      <c r="J18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8" s="4">
        <f>Septembre[[#This Row],[CI (h)]]*Septembre[[#This Row],[PRU (€)]]</f>
        <v>680</v>
      </c>
      <c r="L18" s="4">
        <f>Septembre[[#This Row],[CR (h)]]*Septembre[[#This Row],[PRU (€)]]</f>
        <v>680</v>
      </c>
      <c r="M18" s="16">
        <f>Septembre[[#This Row],[PRU (€)]]*Septembre[[#This Row],[TPS Cumul (h)]]</f>
        <v>0</v>
      </c>
      <c r="N18" s="3" t="s">
        <v>43</v>
      </c>
    </row>
    <row r="19" spans="1:14" x14ac:dyDescent="0.2">
      <c r="A19" s="31"/>
      <c r="B19" s="8" t="s">
        <v>62</v>
      </c>
      <c r="C19" t="s">
        <v>19</v>
      </c>
      <c r="D19" s="4">
        <v>10</v>
      </c>
      <c r="E19" s="4">
        <v>0</v>
      </c>
      <c r="F19" s="4">
        <f>Septembre[[#This Row],[TPS Période(h)]]</f>
        <v>0</v>
      </c>
      <c r="G19" s="4">
        <f>MAX(Septembre[[#This Row],[CI (h)]]-Septembre[[#This Row],[TPS Cumul (h)]], 0)</f>
        <v>10</v>
      </c>
      <c r="H19" s="4">
        <f>Septembre[[#This Row],[TPS Cumul (h)]]+Septembre[[#This Row],[RPS (h)]]</f>
        <v>10</v>
      </c>
      <c r="I19" s="4">
        <f>Septembre[[#This Row],[CI (h)]]-Septembre[[#This Row],[CR (h)]]</f>
        <v>0</v>
      </c>
      <c r="J19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19" s="4">
        <f>Septembre[[#This Row],[CI (h)]]*Septembre[[#This Row],[PRU (€)]]</f>
        <v>680</v>
      </c>
      <c r="L19" s="4">
        <f>Septembre[[#This Row],[CR (h)]]*Septembre[[#This Row],[PRU (€)]]</f>
        <v>680</v>
      </c>
      <c r="M19" s="16">
        <f>Septembre[[#This Row],[PRU (€)]]*Septembre[[#This Row],[TPS Cumul (h)]]</f>
        <v>0</v>
      </c>
      <c r="N19" s="3" t="s">
        <v>43</v>
      </c>
    </row>
    <row r="20" spans="1:14" x14ac:dyDescent="0.2">
      <c r="A20" s="31"/>
      <c r="B20" s="8" t="s">
        <v>63</v>
      </c>
      <c r="C20" t="s">
        <v>19</v>
      </c>
      <c r="D20" s="4">
        <v>5</v>
      </c>
      <c r="E20" s="4">
        <v>0</v>
      </c>
      <c r="F20" s="4">
        <f>Septembre[[#This Row],[TPS Période(h)]]</f>
        <v>0</v>
      </c>
      <c r="G20" s="4">
        <f>MAX(Septembre[[#This Row],[CI (h)]]-Septembre[[#This Row],[TPS Cumul (h)]], 0)</f>
        <v>5</v>
      </c>
      <c r="H20" s="4">
        <f>Septembre[[#This Row],[TPS Cumul (h)]]+Septembre[[#This Row],[RPS (h)]]</f>
        <v>5</v>
      </c>
      <c r="I20" s="4">
        <f>Septembre[[#This Row],[CI (h)]]-Septembre[[#This Row],[CR (h)]]</f>
        <v>0</v>
      </c>
      <c r="J20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0" s="4">
        <f>Septembre[[#This Row],[CI (h)]]*Septembre[[#This Row],[PRU (€)]]</f>
        <v>340</v>
      </c>
      <c r="L20" s="4">
        <f>Septembre[[#This Row],[CR (h)]]*Septembre[[#This Row],[PRU (€)]]</f>
        <v>340</v>
      </c>
      <c r="M20" s="16">
        <f>Septembre[[#This Row],[PRU (€)]]*Septembre[[#This Row],[TPS Cumul (h)]]</f>
        <v>0</v>
      </c>
      <c r="N20" s="3" t="s">
        <v>43</v>
      </c>
    </row>
    <row r="21" spans="1:14" x14ac:dyDescent="0.2">
      <c r="A21" s="31"/>
      <c r="B21" s="8" t="s">
        <v>64</v>
      </c>
      <c r="C21" t="s">
        <v>19</v>
      </c>
      <c r="D21" s="4">
        <v>3</v>
      </c>
      <c r="E21" s="4">
        <v>0</v>
      </c>
      <c r="F21" s="4">
        <f>Septembre[[#This Row],[TPS Période(h)]]</f>
        <v>0</v>
      </c>
      <c r="G21" s="4">
        <f>MAX(Septembre[[#This Row],[CI (h)]]-Septembre[[#This Row],[TPS Cumul (h)]], 0)</f>
        <v>3</v>
      </c>
      <c r="H21" s="4">
        <f>Septembre[[#This Row],[TPS Cumul (h)]]+Septembre[[#This Row],[RPS (h)]]</f>
        <v>3</v>
      </c>
      <c r="I21" s="4">
        <f>Septembre[[#This Row],[CI (h)]]-Septembre[[#This Row],[CR (h)]]</f>
        <v>0</v>
      </c>
      <c r="J21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1" s="4">
        <f>Septembre[[#This Row],[CI (h)]]*Septembre[[#This Row],[PRU (€)]]</f>
        <v>204</v>
      </c>
      <c r="L21" s="4">
        <f>Septembre[[#This Row],[CR (h)]]*Septembre[[#This Row],[PRU (€)]]</f>
        <v>204</v>
      </c>
      <c r="M21" s="16">
        <f>Septembre[[#This Row],[PRU (€)]]*Septembre[[#This Row],[TPS Cumul (h)]]</f>
        <v>0</v>
      </c>
      <c r="N21" s="3" t="s">
        <v>43</v>
      </c>
    </row>
    <row r="22" spans="1:14" x14ac:dyDescent="0.2">
      <c r="A22" s="31"/>
      <c r="B22" s="8" t="s">
        <v>72</v>
      </c>
      <c r="C22" t="s">
        <v>19</v>
      </c>
      <c r="D22" s="4">
        <v>7</v>
      </c>
      <c r="E22" s="4">
        <v>0</v>
      </c>
      <c r="F22" s="4">
        <f>Septembre[[#This Row],[TPS Période(h)]]</f>
        <v>0</v>
      </c>
      <c r="G22" s="4">
        <f>MAX(Septembre[[#This Row],[CI (h)]]-Septembre[[#This Row],[TPS Cumul (h)]], 0)</f>
        <v>7</v>
      </c>
      <c r="H22" s="4">
        <f>Septembre[[#This Row],[TPS Cumul (h)]]+Septembre[[#This Row],[RPS (h)]]</f>
        <v>7</v>
      </c>
      <c r="I22" s="4">
        <f>Septembre[[#This Row],[CI (h)]]-Septembre[[#This Row],[CR (h)]]</f>
        <v>0</v>
      </c>
      <c r="J22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2" s="4">
        <f>Septembre[[#This Row],[CI (h)]]*Septembre[[#This Row],[PRU (€)]]</f>
        <v>476</v>
      </c>
      <c r="L22" s="4">
        <f>Septembre[[#This Row],[CR (h)]]*Septembre[[#This Row],[PRU (€)]]</f>
        <v>476</v>
      </c>
      <c r="M22" s="16">
        <f>Septembre[[#This Row],[PRU (€)]]*Septembre[[#This Row],[TPS Cumul (h)]]</f>
        <v>0</v>
      </c>
      <c r="N22" s="3" t="s">
        <v>43</v>
      </c>
    </row>
    <row r="23" spans="1:14" x14ac:dyDescent="0.2">
      <c r="A23" s="25" t="s">
        <v>32</v>
      </c>
      <c r="B23" s="8" t="s">
        <v>65</v>
      </c>
      <c r="C23" t="s">
        <v>19</v>
      </c>
      <c r="D23" s="4">
        <v>7</v>
      </c>
      <c r="E23" s="4">
        <v>0</v>
      </c>
      <c r="F23" s="4">
        <f>Septembre[[#This Row],[TPS Période(h)]]</f>
        <v>0</v>
      </c>
      <c r="G23" s="4">
        <f>MAX(Septembre[[#This Row],[CI (h)]]-Septembre[[#This Row],[TPS Cumul (h)]], 0)</f>
        <v>7</v>
      </c>
      <c r="H23" s="4">
        <f>Septembre[[#This Row],[TPS Cumul (h)]]+Septembre[[#This Row],[RPS (h)]]</f>
        <v>7</v>
      </c>
      <c r="I23" s="4">
        <f>Septembre[[#This Row],[CI (h)]]-Septembre[[#This Row],[CR (h)]]</f>
        <v>0</v>
      </c>
      <c r="J23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3" s="4">
        <f>Septembre[[#This Row],[CI (h)]]*Septembre[[#This Row],[PRU (€)]]</f>
        <v>476</v>
      </c>
      <c r="L23" s="4">
        <f>Septembre[[#This Row],[CR (h)]]*Septembre[[#This Row],[PRU (€)]]</f>
        <v>476</v>
      </c>
      <c r="M23" s="16">
        <f>Septembre[[#This Row],[PRU (€)]]*Septembre[[#This Row],[TPS Cumul (h)]]</f>
        <v>0</v>
      </c>
      <c r="N23" s="3" t="s">
        <v>43</v>
      </c>
    </row>
    <row r="24" spans="1:14" x14ac:dyDescent="0.2">
      <c r="A24" s="25"/>
      <c r="B24" s="8" t="s">
        <v>66</v>
      </c>
      <c r="C24" t="s">
        <v>19</v>
      </c>
      <c r="D24" s="4">
        <v>2</v>
      </c>
      <c r="E24" s="4">
        <v>0</v>
      </c>
      <c r="F24" s="4">
        <f>Septembre[[#This Row],[TPS Période(h)]]</f>
        <v>0</v>
      </c>
      <c r="G24" s="4">
        <f>MAX(Septembre[[#This Row],[CI (h)]]-Septembre[[#This Row],[TPS Cumul (h)]], 0)</f>
        <v>2</v>
      </c>
      <c r="H24" s="4">
        <f>Septembre[[#This Row],[TPS Cumul (h)]]+Septembre[[#This Row],[RPS (h)]]</f>
        <v>2</v>
      </c>
      <c r="I24" s="4">
        <f>Septembre[[#This Row],[CI (h)]]-Septembre[[#This Row],[CR (h)]]</f>
        <v>0</v>
      </c>
      <c r="J24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4" s="4">
        <f>Septembre[[#This Row],[CI (h)]]*Septembre[[#This Row],[PRU (€)]]</f>
        <v>136</v>
      </c>
      <c r="L24" s="4">
        <f>Septembre[[#This Row],[CR (h)]]*Septembre[[#This Row],[PRU (€)]]</f>
        <v>136</v>
      </c>
      <c r="M24" s="16">
        <f>Septembre[[#This Row],[PRU (€)]]*Septembre[[#This Row],[TPS Cumul (h)]]</f>
        <v>0</v>
      </c>
      <c r="N24" s="3" t="s">
        <v>43</v>
      </c>
    </row>
    <row r="25" spans="1:14" x14ac:dyDescent="0.2">
      <c r="A25" s="27" t="s">
        <v>33</v>
      </c>
      <c r="B25" s="8" t="s">
        <v>67</v>
      </c>
      <c r="C25" t="s">
        <v>19</v>
      </c>
      <c r="D25" s="4">
        <v>2</v>
      </c>
      <c r="E25" s="4">
        <v>0</v>
      </c>
      <c r="F25" s="4">
        <f>Septembre[[#This Row],[TPS Période(h)]]</f>
        <v>0</v>
      </c>
      <c r="G25" s="4">
        <f>MAX(Septembre[[#This Row],[CI (h)]]-Septembre[[#This Row],[TPS Cumul (h)]], 0)</f>
        <v>2</v>
      </c>
      <c r="H25" s="4">
        <f>Septembre[[#This Row],[TPS Cumul (h)]]+Septembre[[#This Row],[RPS (h)]]</f>
        <v>2</v>
      </c>
      <c r="I25" s="4">
        <f>Septembre[[#This Row],[CI (h)]]-Septembre[[#This Row],[CR (h)]]</f>
        <v>0</v>
      </c>
      <c r="J25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5" s="4">
        <f>Septembre[[#This Row],[CI (h)]]*Septembre[[#This Row],[PRU (€)]]</f>
        <v>136</v>
      </c>
      <c r="L25" s="4">
        <f>Septembre[[#This Row],[CR (h)]]*Septembre[[#This Row],[PRU (€)]]</f>
        <v>136</v>
      </c>
      <c r="M25" s="16">
        <f>Septembre[[#This Row],[PRU (€)]]*Septembre[[#This Row],[TPS Cumul (h)]]</f>
        <v>0</v>
      </c>
      <c r="N25" s="3" t="s">
        <v>43</v>
      </c>
    </row>
    <row r="26" spans="1:14" x14ac:dyDescent="0.2">
      <c r="A26" s="27"/>
      <c r="B26" s="8" t="s">
        <v>68</v>
      </c>
      <c r="C26" t="s">
        <v>19</v>
      </c>
      <c r="D26" s="4">
        <v>2</v>
      </c>
      <c r="E26" s="4">
        <v>0</v>
      </c>
      <c r="F26" s="4">
        <f>Septembre[[#This Row],[TPS Période(h)]]</f>
        <v>0</v>
      </c>
      <c r="G26" s="4">
        <f>MAX(Septembre[[#This Row],[CI (h)]]-Septembre[[#This Row],[TPS Cumul (h)]], 0)</f>
        <v>2</v>
      </c>
      <c r="H26" s="4">
        <f>Septembre[[#This Row],[TPS Cumul (h)]]+Septembre[[#This Row],[RPS (h)]]</f>
        <v>2</v>
      </c>
      <c r="I26" s="4">
        <f>Septembre[[#This Row],[CI (h)]]-Septembre[[#This Row],[CR (h)]]</f>
        <v>0</v>
      </c>
      <c r="J26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6" s="4">
        <f>Septembre[[#This Row],[CI (h)]]*Septembre[[#This Row],[PRU (€)]]</f>
        <v>136</v>
      </c>
      <c r="L26" s="4">
        <f>Septembre[[#This Row],[CR (h)]]*Septembre[[#This Row],[PRU (€)]]</f>
        <v>136</v>
      </c>
      <c r="M26" s="16">
        <f>Septembre[[#This Row],[PRU (€)]]*Septembre[[#This Row],[TPS Cumul (h)]]</f>
        <v>0</v>
      </c>
      <c r="N26" s="3" t="s">
        <v>43</v>
      </c>
    </row>
    <row r="27" spans="1:14" x14ac:dyDescent="0.2">
      <c r="A27" s="28" t="s">
        <v>34</v>
      </c>
      <c r="B27" s="8" t="s">
        <v>69</v>
      </c>
      <c r="C27" t="s">
        <v>19</v>
      </c>
      <c r="D27" s="4">
        <v>10</v>
      </c>
      <c r="E27" s="4">
        <v>0</v>
      </c>
      <c r="F27" s="4">
        <f>Septembre[[#This Row],[TPS Période(h)]]</f>
        <v>0</v>
      </c>
      <c r="G27" s="4">
        <f>MAX(Septembre[[#This Row],[CI (h)]]-Septembre[[#This Row],[TPS Cumul (h)]], 0)</f>
        <v>10</v>
      </c>
      <c r="H27" s="4">
        <f>Septembre[[#This Row],[TPS Cumul (h)]]+Septembre[[#This Row],[RPS (h)]]</f>
        <v>10</v>
      </c>
      <c r="I27" s="4">
        <f>Septembre[[#This Row],[CI (h)]]-Septembre[[#This Row],[CR (h)]]</f>
        <v>0</v>
      </c>
      <c r="J27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7" s="4">
        <f>Septembre[[#This Row],[CI (h)]]*Septembre[[#This Row],[PRU (€)]]</f>
        <v>680</v>
      </c>
      <c r="L27" s="4">
        <f>Septembre[[#This Row],[CR (h)]]*Septembre[[#This Row],[PRU (€)]]</f>
        <v>680</v>
      </c>
      <c r="M27" s="16">
        <f>Septembre[[#This Row],[PRU (€)]]*Septembre[[#This Row],[TPS Cumul (h)]]</f>
        <v>0</v>
      </c>
      <c r="N27" s="3" t="s">
        <v>43</v>
      </c>
    </row>
    <row r="28" spans="1:14" x14ac:dyDescent="0.2">
      <c r="A28" s="29"/>
      <c r="B28" s="8" t="s">
        <v>71</v>
      </c>
      <c r="C28" t="s">
        <v>19</v>
      </c>
      <c r="D28" s="4">
        <v>2</v>
      </c>
      <c r="E28" s="4">
        <v>0</v>
      </c>
      <c r="F28" s="4">
        <f>Septembre[[#This Row],[TPS Période(h)]]</f>
        <v>0</v>
      </c>
      <c r="G28" s="4">
        <f>MAX(Septembre[[#This Row],[CI (h)]]-Septembre[[#This Row],[TPS Cumul (h)]], 0)</f>
        <v>2</v>
      </c>
      <c r="H28" s="4">
        <f>Septembre[[#This Row],[TPS Cumul (h)]]+Septembre[[#This Row],[RPS (h)]]</f>
        <v>2</v>
      </c>
      <c r="I28" s="4">
        <f>Septembre[[#This Row],[CI (h)]]-Septembre[[#This Row],[CR (h)]]</f>
        <v>0</v>
      </c>
      <c r="J28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8" s="4">
        <f>Septembre[[#This Row],[CI (h)]]*Septembre[[#This Row],[PRU (€)]]</f>
        <v>136</v>
      </c>
      <c r="L28" s="4">
        <f>Septembre[[#This Row],[CR (h)]]*Septembre[[#This Row],[PRU (€)]]</f>
        <v>136</v>
      </c>
      <c r="M28" s="16">
        <f>Septembre[[#This Row],[PRU (€)]]*Septembre[[#This Row],[TPS Cumul (h)]]</f>
        <v>0</v>
      </c>
      <c r="N28" s="3" t="s">
        <v>43</v>
      </c>
    </row>
    <row r="29" spans="1:14" x14ac:dyDescent="0.2">
      <c r="A29" s="26" t="s">
        <v>35</v>
      </c>
      <c r="B29" s="8" t="s">
        <v>70</v>
      </c>
      <c r="C29" t="s">
        <v>19</v>
      </c>
      <c r="D29" s="4">
        <v>3</v>
      </c>
      <c r="E29" s="4">
        <v>0</v>
      </c>
      <c r="F29" s="4">
        <f>Septembre[[#This Row],[TPS Période(h)]]</f>
        <v>0</v>
      </c>
      <c r="G29" s="4">
        <f>MAX(Septembre[[#This Row],[CI (h)]]-Septembre[[#This Row],[TPS Cumul (h)]], 0)</f>
        <v>3</v>
      </c>
      <c r="H29" s="4">
        <f>Septembre[[#This Row],[TPS Cumul (h)]]+Septembre[[#This Row],[RPS (h)]]</f>
        <v>3</v>
      </c>
      <c r="I29" s="4">
        <f>Septembre[[#This Row],[CI (h)]]-Septembre[[#This Row],[CR (h)]]</f>
        <v>0</v>
      </c>
      <c r="J29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29" s="4">
        <f>Septembre[[#This Row],[CI (h)]]*Septembre[[#This Row],[PRU (€)]]</f>
        <v>204</v>
      </c>
      <c r="L29" s="4">
        <f>Septembre[[#This Row],[CR (h)]]*Septembre[[#This Row],[PRU (€)]]</f>
        <v>204</v>
      </c>
      <c r="M29" s="16">
        <f>Septembre[[#This Row],[PRU (€)]]*Septembre[[#This Row],[TPS Cumul (h)]]</f>
        <v>0</v>
      </c>
      <c r="N29" s="3" t="s">
        <v>43</v>
      </c>
    </row>
    <row r="30" spans="1:14" x14ac:dyDescent="0.2">
      <c r="A30" s="26"/>
      <c r="B30" s="8" t="s">
        <v>73</v>
      </c>
      <c r="C30" t="s">
        <v>19</v>
      </c>
      <c r="D30" s="4">
        <v>0</v>
      </c>
      <c r="E30" s="4">
        <v>0</v>
      </c>
      <c r="F30" s="4">
        <f>Septembre[[#This Row],[TPS Période(h)]]</f>
        <v>0</v>
      </c>
      <c r="G30" s="4">
        <f>MAX(Septembre[[#This Row],[CI (h)]]-Septembre[[#This Row],[TPS Cumul (h)]], 0)</f>
        <v>0</v>
      </c>
      <c r="H30" s="4">
        <f>Septembre[[#This Row],[TPS Cumul (h)]]+Septembre[[#This Row],[RPS (h)]]</f>
        <v>0</v>
      </c>
      <c r="I30" s="4">
        <f>Septembre[[#This Row],[CI (h)]]-Septembre[[#This Row],[CR (h)]]</f>
        <v>0</v>
      </c>
      <c r="J30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30" s="4">
        <f>Septembre[[#This Row],[CI (h)]]*Septembre[[#This Row],[PRU (€)]]</f>
        <v>0</v>
      </c>
      <c r="L30" s="4">
        <f>Septembre[[#This Row],[CR (h)]]*Septembre[[#This Row],[PRU (€)]]</f>
        <v>0</v>
      </c>
      <c r="M30" s="16">
        <f>Septembre[[#This Row],[PRU (€)]]*Septembre[[#This Row],[TPS Cumul (h)]]</f>
        <v>0</v>
      </c>
      <c r="N30" s="3" t="s">
        <v>43</v>
      </c>
    </row>
    <row r="31" spans="1:14" x14ac:dyDescent="0.2">
      <c r="A31" s="26"/>
      <c r="B31" s="8" t="s">
        <v>74</v>
      </c>
      <c r="C31" t="s">
        <v>19</v>
      </c>
      <c r="D31" s="4">
        <v>0</v>
      </c>
      <c r="E31" s="4">
        <v>0</v>
      </c>
      <c r="F31" s="4">
        <f>Septembre[[#This Row],[TPS Période(h)]]</f>
        <v>0</v>
      </c>
      <c r="G31" s="4">
        <f>MAX(Septembre[[#This Row],[CI (h)]]-Septembre[[#This Row],[TPS Cumul (h)]], 0)</f>
        <v>0</v>
      </c>
      <c r="H31" s="4">
        <f>Septembre[[#This Row],[TPS Cumul (h)]]+Septembre[[#This Row],[RPS (h)]]</f>
        <v>0</v>
      </c>
      <c r="I31" s="4">
        <f>Septembre[[#This Row],[CI (h)]]-Septembre[[#This Row],[CR (h)]]</f>
        <v>0</v>
      </c>
      <c r="J31" s="4" t="str">
        <f>IF(Septembre[[#This Row],[Qui]]="Chef de projet","68",IF(Septembre[[#This Row],[Qui]]="Ingénieur Electronique","32",IF(Septembre[[#This Row],[Qui]]="Ingénieur qualité","36",IF(Septembre[[#This Row],[Qui]]="Ingénieur Développement",30,IF(Septembre[[#This Row],[Qui]]="Ingénieur Mécanique",34,"")))))</f>
        <v>68</v>
      </c>
      <c r="K31" s="4">
        <f>Septembre[[#This Row],[CI (h)]]*Septembre[[#This Row],[PRU (€)]]</f>
        <v>0</v>
      </c>
      <c r="L31" s="4">
        <f>Septembre[[#This Row],[CR (h)]]*Septembre[[#This Row],[PRU (€)]]</f>
        <v>0</v>
      </c>
      <c r="M31" s="16">
        <f>Septembre[[#This Row],[PRU (€)]]*Septembre[[#This Row],[TPS Cumul (h)]]</f>
        <v>0</v>
      </c>
      <c r="N31" s="3" t="s">
        <v>43</v>
      </c>
    </row>
    <row r="32" spans="1:14" x14ac:dyDescent="0.2">
      <c r="B32" s="2" t="s">
        <v>21</v>
      </c>
      <c r="C32" s="2"/>
      <c r="D32" s="2">
        <f>SUBTOTAL(109,Septembre[CI (h)])</f>
        <v>120</v>
      </c>
      <c r="E32" s="2">
        <f>SUBTOTAL(109,Septembre[TPS Période(h)])</f>
        <v>16</v>
      </c>
      <c r="F32" s="2">
        <f>SUBTOTAL(109,Septembre[TPS Cumul (h)])</f>
        <v>16</v>
      </c>
      <c r="G32" s="2">
        <f>SUBTOTAL(109,Septembre[RPS (h)])</f>
        <v>105</v>
      </c>
      <c r="H32" s="2">
        <f>SUBTOTAL(109,Septembre[CR (h)])</f>
        <v>121</v>
      </c>
      <c r="I32" s="2">
        <f>SUBTOTAL(109,Septembre[EC (h)])</f>
        <v>-1</v>
      </c>
      <c r="J32" s="2">
        <f>SUBTOTAL(109,Septembre[PRU (€)])</f>
        <v>0</v>
      </c>
      <c r="K32" s="2">
        <f>SUBTOTAL(109,Septembre[Coût Initial (€)])</f>
        <v>8160</v>
      </c>
      <c r="L32" s="1">
        <f>SUBTOTAL(109,Septembre[Coût Révisé (€)])</f>
        <v>8228</v>
      </c>
      <c r="M32" s="2">
        <f>SUBTOTAL(109,Septembre[Coût Réel])</f>
        <v>1088</v>
      </c>
      <c r="N32" s="3"/>
    </row>
    <row r="33" spans="2:14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6" spans="2:14" x14ac:dyDescent="0.2">
      <c r="B36" s="7" t="s">
        <v>23</v>
      </c>
      <c r="C36" s="7" t="s">
        <v>40</v>
      </c>
      <c r="D36" s="7" t="s">
        <v>26</v>
      </c>
      <c r="N36" s="5" t="s">
        <v>41</v>
      </c>
    </row>
    <row r="37" spans="2:14" x14ac:dyDescent="0.2">
      <c r="B37" s="5" t="s">
        <v>24</v>
      </c>
      <c r="C37" s="5">
        <f>SUMIFS(Septembre[CI (h)], Septembre[Qui], "Chef de Projet")</f>
        <v>120</v>
      </c>
      <c r="D37" s="5">
        <v>68</v>
      </c>
      <c r="N37" s="5" t="s">
        <v>42</v>
      </c>
    </row>
    <row r="38" spans="2:14" x14ac:dyDescent="0.2">
      <c r="B38" s="5" t="s">
        <v>21</v>
      </c>
      <c r="C38" s="5">
        <f>SUM(C37:C37)</f>
        <v>120</v>
      </c>
      <c r="D38" s="5"/>
    </row>
  </sheetData>
  <mergeCells count="9">
    <mergeCell ref="A2:A3"/>
    <mergeCell ref="A29:A31"/>
    <mergeCell ref="A4:A9"/>
    <mergeCell ref="A27:A28"/>
    <mergeCell ref="A10:A13"/>
    <mergeCell ref="A14:A17"/>
    <mergeCell ref="A18:A22"/>
    <mergeCell ref="A23:A24"/>
    <mergeCell ref="A25:A26"/>
  </mergeCells>
  <conditionalFormatting sqref="B2:B3">
    <cfRule type="expression" dxfId="157" priority="5">
      <formula>$F2&gt;0</formula>
    </cfRule>
  </conditionalFormatting>
  <conditionalFormatting sqref="B4:B9">
    <cfRule type="expression" dxfId="156" priority="8">
      <formula>#REF!&gt;0</formula>
    </cfRule>
  </conditionalFormatting>
  <conditionalFormatting sqref="B6">
    <cfRule type="expression" dxfId="155" priority="9">
      <formula>$F4&gt;0</formula>
    </cfRule>
  </conditionalFormatting>
  <conditionalFormatting sqref="B7:B8">
    <cfRule type="expression" dxfId="154" priority="18">
      <formula>$F12&gt;0</formula>
    </cfRule>
  </conditionalFormatting>
  <conditionalFormatting sqref="B9">
    <cfRule type="expression" dxfId="153" priority="17">
      <formula>$F13&gt;0</formula>
    </cfRule>
  </conditionalFormatting>
  <conditionalFormatting sqref="B11">
    <cfRule type="expression" dxfId="152" priority="12">
      <formula>#REF!&gt;0</formula>
    </cfRule>
  </conditionalFormatting>
  <conditionalFormatting sqref="B12:B13">
    <cfRule type="expression" dxfId="151" priority="11">
      <formula>$F15&gt;0</formula>
    </cfRule>
  </conditionalFormatting>
  <conditionalFormatting sqref="B14:B18">
    <cfRule type="expression" dxfId="150" priority="6">
      <formula>#REF!&gt;0</formula>
    </cfRule>
  </conditionalFormatting>
  <conditionalFormatting sqref="B21:B29">
    <cfRule type="expression" dxfId="149" priority="1">
      <formula>#REF!&gt;0</formula>
    </cfRule>
  </conditionalFormatting>
  <conditionalFormatting sqref="B22 B24:B27 B29">
    <cfRule type="expression" dxfId="148" priority="13">
      <formula>$N22="Oui"</formula>
    </cfRule>
    <cfRule type="expression" dxfId="147" priority="14">
      <formula>$F22&gt;0</formula>
    </cfRule>
  </conditionalFormatting>
  <conditionalFormatting sqref="B22">
    <cfRule type="expression" dxfId="146" priority="15">
      <formula>$N18="Oui"</formula>
    </cfRule>
    <cfRule type="expression" dxfId="145" priority="16">
      <formula>$F18&gt;0</formula>
    </cfRule>
  </conditionalFormatting>
  <conditionalFormatting sqref="B25:B29">
    <cfRule type="expression" dxfId="144" priority="21">
      <formula>#REF!="Oui"</formula>
    </cfRule>
    <cfRule type="expression" dxfId="143" priority="22">
      <formula>#REF!&gt;0</formula>
    </cfRule>
  </conditionalFormatting>
  <conditionalFormatting sqref="B28">
    <cfRule type="expression" dxfId="142" priority="19">
      <formula>#REF!="Oui"</formula>
    </cfRule>
    <cfRule type="expression" dxfId="141" priority="20">
      <formula>#REF!&gt;0</formula>
    </cfRule>
    <cfRule type="expression" dxfId="140" priority="27">
      <formula>$N30="Oui"</formula>
    </cfRule>
    <cfRule type="expression" dxfId="139" priority="28">
      <formula>$F30&gt;0</formula>
    </cfRule>
    <cfRule type="expression" dxfId="138" priority="29">
      <formula>#REF!="Oui"</formula>
    </cfRule>
    <cfRule type="expression" dxfId="137" priority="30">
      <formula>#REF!&gt;0</formula>
    </cfRule>
  </conditionalFormatting>
  <conditionalFormatting sqref="C2:M2 C3:I7 C8:C31 D8:I31">
    <cfRule type="expression" dxfId="136" priority="77">
      <formula>$F2&gt;0</formula>
    </cfRule>
  </conditionalFormatting>
  <conditionalFormatting sqref="J3:M31">
    <cfRule type="expression" dxfId="135" priority="76">
      <formula>$F3&gt;0</formula>
    </cfRule>
  </conditionalFormatting>
  <dataValidations count="2">
    <dataValidation type="list" allowBlank="1" showInputMessage="1" showErrorMessage="1" sqref="C2:C31" xr:uid="{518F75D0-8E1A-4CA5-91A4-11A4C681CC13}">
      <formula1>$B$37:$B$37</formula1>
    </dataValidation>
    <dataValidation type="list" allowBlank="1" showInputMessage="1" showErrorMessage="1" sqref="N2:N31" xr:uid="{78285148-183D-4AE0-AA50-3EF42FF350A9}">
      <formula1>$N$37:$N$37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5F8AA-B985-436F-8152-E9F351E856E5}">
  <dimension ref="A1:N38"/>
  <sheetViews>
    <sheetView topLeftCell="A9" zoomScaleNormal="100" workbookViewId="0">
      <selection activeCell="E16" sqref="E16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16.83203125" bestFit="1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4" max="14" width="15.5" customWidth="1"/>
  </cols>
  <sheetData>
    <row r="1" spans="1:14" x14ac:dyDescent="0.2">
      <c r="A1" s="9" t="s">
        <v>27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2" t="s">
        <v>16</v>
      </c>
      <c r="L1" s="12" t="s">
        <v>17</v>
      </c>
      <c r="M1" s="12" t="s">
        <v>18</v>
      </c>
      <c r="N1" s="15" t="s">
        <v>34</v>
      </c>
    </row>
    <row r="2" spans="1:14" x14ac:dyDescent="0.2">
      <c r="A2" s="25" t="s">
        <v>28</v>
      </c>
      <c r="B2" s="8" t="s">
        <v>45</v>
      </c>
      <c r="C2" t="s">
        <v>19</v>
      </c>
      <c r="D2" s="4">
        <v>1</v>
      </c>
      <c r="E2" s="23">
        <v>1</v>
      </c>
      <c r="F2" s="4">
        <f>Octobre[[#This Row],[TPS Période(h)]]+Septembre[[#This Row],[TPS Cumul (h)]]</f>
        <v>2</v>
      </c>
      <c r="G2" s="4">
        <f>MAX(Octobre[[#This Row],[CI (h)]]-Octobre[[#This Row],[TPS Cumul (h)]], 0)</f>
        <v>0</v>
      </c>
      <c r="H2" s="4">
        <f>Octobre[[#This Row],[TPS Cumul (h)]]+Octobre[[#This Row],[RPS (h)]]</f>
        <v>2</v>
      </c>
      <c r="I2" s="4">
        <f>Octobre[[#This Row],[CI (h)]]-Octobre[[#This Row],[CR (h)]]</f>
        <v>-1</v>
      </c>
      <c r="J2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2" s="4">
        <f>Octobre[[#This Row],[CI (h)]]*Octobre[[#This Row],[PRU (€)]]</f>
        <v>32</v>
      </c>
      <c r="L2" s="4">
        <f>Octobre[[#This Row],[CR (h)]]*Octobre[[#This Row],[PRU (€)]]</f>
        <v>64</v>
      </c>
      <c r="M2" s="4">
        <f>Octobre[[#This Row],[PRU (€)]]*Octobre[[#This Row],[TPS Cumul (h)]]</f>
        <v>64</v>
      </c>
      <c r="N2" s="3" t="s">
        <v>42</v>
      </c>
    </row>
    <row r="3" spans="1:14" x14ac:dyDescent="0.2">
      <c r="A3" s="34"/>
      <c r="B3" s="8" t="s">
        <v>46</v>
      </c>
      <c r="C3" t="s">
        <v>19</v>
      </c>
      <c r="D3" s="4">
        <v>10</v>
      </c>
      <c r="E3" s="23">
        <v>10</v>
      </c>
      <c r="F3" s="4">
        <f>Octobre[[#This Row],[TPS Période(h)]]+Septembre[[#This Row],[TPS Cumul (h)]]</f>
        <v>19</v>
      </c>
      <c r="G3" s="4">
        <f>MAX(Octobre[[#This Row],[CI (h)]]-Octobre[[#This Row],[TPS Cumul (h)]], 0)</f>
        <v>0</v>
      </c>
      <c r="H3" s="4">
        <f>Octobre[[#This Row],[TPS Cumul (h)]]+Octobre[[#This Row],[RPS (h)]]</f>
        <v>19</v>
      </c>
      <c r="I3" s="4">
        <f>Octobre[[#This Row],[CI (h)]]-Octobre[[#This Row],[CR (h)]]</f>
        <v>-9</v>
      </c>
      <c r="J3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3" s="4">
        <f>Octobre[[#This Row],[CI (h)]]*Octobre[[#This Row],[PRU (€)]]</f>
        <v>320</v>
      </c>
      <c r="L3" s="4">
        <f>Octobre[[#This Row],[CR (h)]]*Octobre[[#This Row],[PRU (€)]]</f>
        <v>608</v>
      </c>
      <c r="M3" s="4">
        <f>Octobre[[#This Row],[PRU (€)]]*Octobre[[#This Row],[TPS Cumul (h)]]</f>
        <v>608</v>
      </c>
      <c r="N3" s="3" t="s">
        <v>42</v>
      </c>
    </row>
    <row r="4" spans="1:14" x14ac:dyDescent="0.2">
      <c r="A4" s="33" t="s">
        <v>20</v>
      </c>
      <c r="B4" s="8" t="s">
        <v>47</v>
      </c>
      <c r="C4" t="s">
        <v>19</v>
      </c>
      <c r="D4" s="4">
        <v>5</v>
      </c>
      <c r="E4" s="23">
        <v>5</v>
      </c>
      <c r="F4" s="4">
        <f>Octobre[[#This Row],[TPS Période(h)]]+Septembre[[#This Row],[TPS Cumul (h)]]</f>
        <v>11</v>
      </c>
      <c r="G4" s="4">
        <f>MAX(Octobre[[#This Row],[CI (h)]]-Octobre[[#This Row],[TPS Cumul (h)]], 0)</f>
        <v>0</v>
      </c>
      <c r="H4" s="4">
        <f>Octobre[[#This Row],[TPS Cumul (h)]]+Octobre[[#This Row],[RPS (h)]]</f>
        <v>11</v>
      </c>
      <c r="I4" s="4">
        <f>Octobre[[#This Row],[CI (h)]]-Octobre[[#This Row],[CR (h)]]</f>
        <v>-6</v>
      </c>
      <c r="J4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4" s="4">
        <f>Octobre[[#This Row],[CI (h)]]*Octobre[[#This Row],[PRU (€)]]</f>
        <v>160</v>
      </c>
      <c r="L4" s="4">
        <f>Octobre[[#This Row],[CR (h)]]*Octobre[[#This Row],[PRU (€)]]</f>
        <v>352</v>
      </c>
      <c r="M4" s="4">
        <f>Octobre[[#This Row],[PRU (€)]]*Octobre[[#This Row],[TPS Cumul (h)]]</f>
        <v>352</v>
      </c>
      <c r="N4" s="3" t="s">
        <v>42</v>
      </c>
    </row>
    <row r="5" spans="1:14" x14ac:dyDescent="0.2">
      <c r="A5" s="33"/>
      <c r="B5" s="8" t="s">
        <v>48</v>
      </c>
      <c r="C5" t="s">
        <v>19</v>
      </c>
      <c r="D5" s="4">
        <v>1</v>
      </c>
      <c r="E5" s="4"/>
      <c r="F5" s="4">
        <f>Octobre[[#This Row],[TPS Période(h)]]+Septembre[[#This Row],[TPS Cumul (h)]]</f>
        <v>0</v>
      </c>
      <c r="G5" s="4">
        <f>MAX(Octobre[[#This Row],[CI (h)]]-Octobre[[#This Row],[TPS Cumul (h)]], 0)</f>
        <v>1</v>
      </c>
      <c r="H5" s="4">
        <f>Octobre[[#This Row],[TPS Cumul (h)]]+Octobre[[#This Row],[RPS (h)]]</f>
        <v>1</v>
      </c>
      <c r="I5" s="4">
        <f>Octobre[[#This Row],[CI (h)]]-Octobre[[#This Row],[CR (h)]]</f>
        <v>0</v>
      </c>
      <c r="J5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5" s="4">
        <f>Octobre[[#This Row],[CI (h)]]*Octobre[[#This Row],[PRU (€)]]</f>
        <v>32</v>
      </c>
      <c r="L5" s="4">
        <f>Octobre[[#This Row],[CR (h)]]*Octobre[[#This Row],[PRU (€)]]</f>
        <v>32</v>
      </c>
      <c r="M5" s="4">
        <f>Octobre[[#This Row],[PRU (€)]]*Octobre[[#This Row],[TPS Cumul (h)]]</f>
        <v>0</v>
      </c>
      <c r="N5" s="3" t="s">
        <v>43</v>
      </c>
    </row>
    <row r="6" spans="1:14" x14ac:dyDescent="0.2">
      <c r="A6" s="33"/>
      <c r="B6" s="8" t="s">
        <v>49</v>
      </c>
      <c r="C6" t="s">
        <v>19</v>
      </c>
      <c r="D6" s="4">
        <v>2</v>
      </c>
      <c r="E6" s="4"/>
      <c r="F6" s="4">
        <f>Octobre[[#This Row],[TPS Période(h)]]+Septembre[[#This Row],[TPS Cumul (h)]]</f>
        <v>0</v>
      </c>
      <c r="G6" s="4">
        <f>MAX(Octobre[[#This Row],[CI (h)]]-Octobre[[#This Row],[TPS Cumul (h)]], 0)</f>
        <v>2</v>
      </c>
      <c r="H6" s="4">
        <f>Octobre[[#This Row],[TPS Cumul (h)]]+Octobre[[#This Row],[RPS (h)]]</f>
        <v>2</v>
      </c>
      <c r="I6" s="4">
        <f>Octobre[[#This Row],[CI (h)]]-Octobre[[#This Row],[CR (h)]]</f>
        <v>0</v>
      </c>
      <c r="J6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6" s="4">
        <f>Octobre[[#This Row],[CI (h)]]*Octobre[[#This Row],[PRU (€)]]</f>
        <v>64</v>
      </c>
      <c r="L6" s="4">
        <f>Octobre[[#This Row],[CR (h)]]*Octobre[[#This Row],[PRU (€)]]</f>
        <v>64</v>
      </c>
      <c r="M6" s="4">
        <f>Octobre[[#This Row],[PRU (€)]]*Octobre[[#This Row],[TPS Cumul (h)]]</f>
        <v>0</v>
      </c>
      <c r="N6" s="3" t="s">
        <v>43</v>
      </c>
    </row>
    <row r="7" spans="1:14" x14ac:dyDescent="0.2">
      <c r="A7" s="33"/>
      <c r="B7" s="8" t="s">
        <v>50</v>
      </c>
      <c r="C7" t="s">
        <v>19</v>
      </c>
      <c r="D7" s="4">
        <v>2</v>
      </c>
      <c r="E7" s="4">
        <v>1</v>
      </c>
      <c r="F7" s="4">
        <f>Octobre[[#This Row],[TPS Période(h)]]+Septembre[[#This Row],[TPS Cumul (h)]]</f>
        <v>1</v>
      </c>
      <c r="G7" s="4">
        <f>MAX(Octobre[[#This Row],[CI (h)]]-Octobre[[#This Row],[TPS Cumul (h)]], 0)</f>
        <v>1</v>
      </c>
      <c r="H7" s="4">
        <f>Octobre[[#This Row],[TPS Cumul (h)]]+Octobre[[#This Row],[RPS (h)]]</f>
        <v>2</v>
      </c>
      <c r="I7" s="4">
        <f>Octobre[[#This Row],[CI (h)]]-Octobre[[#This Row],[CR (h)]]</f>
        <v>0</v>
      </c>
      <c r="J7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7" s="4">
        <f>Octobre[[#This Row],[CI (h)]]*Octobre[[#This Row],[PRU (€)]]</f>
        <v>64</v>
      </c>
      <c r="L7" s="4">
        <f>Octobre[[#This Row],[CR (h)]]*Octobre[[#This Row],[PRU (€)]]</f>
        <v>64</v>
      </c>
      <c r="M7" s="4">
        <f>Octobre[[#This Row],[PRU (€)]]*Octobre[[#This Row],[TPS Cumul (h)]]</f>
        <v>32</v>
      </c>
      <c r="N7" s="3" t="s">
        <v>43</v>
      </c>
    </row>
    <row r="8" spans="1:14" x14ac:dyDescent="0.2">
      <c r="A8" s="33"/>
      <c r="B8" s="8" t="s">
        <v>51</v>
      </c>
      <c r="C8" t="s">
        <v>19</v>
      </c>
      <c r="D8" s="4">
        <v>2</v>
      </c>
      <c r="E8" s="4">
        <v>1</v>
      </c>
      <c r="F8" s="4">
        <f>Octobre[[#This Row],[TPS Période(h)]]+Septembre[[#This Row],[TPS Cumul (h)]]</f>
        <v>1</v>
      </c>
      <c r="G8" s="4">
        <f>MAX(Octobre[[#This Row],[CI (h)]]-Octobre[[#This Row],[TPS Cumul (h)]], 0)</f>
        <v>1</v>
      </c>
      <c r="H8" s="4">
        <f>Octobre[[#This Row],[TPS Cumul (h)]]+Octobre[[#This Row],[RPS (h)]]</f>
        <v>2</v>
      </c>
      <c r="I8" s="4">
        <f>Octobre[[#This Row],[CI (h)]]-Octobre[[#This Row],[CR (h)]]</f>
        <v>0</v>
      </c>
      <c r="J8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8" s="4">
        <f>Octobre[[#This Row],[CI (h)]]*Octobre[[#This Row],[PRU (€)]]</f>
        <v>64</v>
      </c>
      <c r="L8" s="4">
        <f>Octobre[[#This Row],[CR (h)]]*Octobre[[#This Row],[PRU (€)]]</f>
        <v>64</v>
      </c>
      <c r="M8" s="4">
        <f>Octobre[[#This Row],[PRU (€)]]*Octobre[[#This Row],[TPS Cumul (h)]]</f>
        <v>32</v>
      </c>
      <c r="N8" s="3" t="s">
        <v>43</v>
      </c>
    </row>
    <row r="9" spans="1:14" x14ac:dyDescent="0.2">
      <c r="A9" s="33"/>
      <c r="B9" s="8" t="s">
        <v>52</v>
      </c>
      <c r="C9" t="s">
        <v>19</v>
      </c>
      <c r="D9" s="4">
        <v>2</v>
      </c>
      <c r="E9" s="4"/>
      <c r="F9" s="4">
        <f>Octobre[[#This Row],[TPS Période(h)]]+Septembre[[#This Row],[TPS Cumul (h)]]</f>
        <v>0</v>
      </c>
      <c r="G9" s="4">
        <f>MAX(Octobre[[#This Row],[CI (h)]]-Octobre[[#This Row],[TPS Cumul (h)]], 0)</f>
        <v>2</v>
      </c>
      <c r="H9" s="4">
        <f>Octobre[[#This Row],[TPS Cumul (h)]]+Octobre[[#This Row],[RPS (h)]]</f>
        <v>2</v>
      </c>
      <c r="I9" s="4">
        <f>Octobre[[#This Row],[CI (h)]]-Octobre[[#This Row],[CR (h)]]</f>
        <v>0</v>
      </c>
      <c r="J9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9" s="4">
        <f>Octobre[[#This Row],[CI (h)]]*Octobre[[#This Row],[PRU (€)]]</f>
        <v>64</v>
      </c>
      <c r="L9" s="4">
        <f>Octobre[[#This Row],[CR (h)]]*Octobre[[#This Row],[PRU (€)]]</f>
        <v>64</v>
      </c>
      <c r="M9" s="4">
        <f>Octobre[[#This Row],[PRU (€)]]*Octobre[[#This Row],[TPS Cumul (h)]]</f>
        <v>0</v>
      </c>
      <c r="N9" s="3" t="s">
        <v>43</v>
      </c>
    </row>
    <row r="10" spans="1:14" x14ac:dyDescent="0.2">
      <c r="A10" s="29" t="s">
        <v>29</v>
      </c>
      <c r="B10" s="3" t="s">
        <v>53</v>
      </c>
      <c r="C10" t="s">
        <v>19</v>
      </c>
      <c r="D10" s="4">
        <v>4</v>
      </c>
      <c r="E10" s="4">
        <v>3</v>
      </c>
      <c r="F10" s="4">
        <f>Octobre[[#This Row],[TPS Période(h)]]+Septembre[[#This Row],[TPS Cumul (h)]]</f>
        <v>3</v>
      </c>
      <c r="G10" s="4">
        <f>MAX(Octobre[[#This Row],[CI (h)]]-Octobre[[#This Row],[TPS Cumul (h)]], 0)</f>
        <v>1</v>
      </c>
      <c r="H10" s="4">
        <f>Octobre[[#This Row],[TPS Cumul (h)]]+Octobre[[#This Row],[RPS (h)]]</f>
        <v>4</v>
      </c>
      <c r="I10" s="4">
        <f>Octobre[[#This Row],[CI (h)]]-Octobre[[#This Row],[CR (h)]]</f>
        <v>0</v>
      </c>
      <c r="J10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10" s="4">
        <f>Octobre[[#This Row],[CI (h)]]*Octobre[[#This Row],[PRU (€)]]</f>
        <v>128</v>
      </c>
      <c r="L10" s="4">
        <f>Octobre[[#This Row],[CR (h)]]*Octobre[[#This Row],[PRU (€)]]</f>
        <v>128</v>
      </c>
      <c r="M10" s="4">
        <f>Octobre[[#This Row],[PRU (€)]]*Octobre[[#This Row],[TPS Cumul (h)]]</f>
        <v>96</v>
      </c>
      <c r="N10" s="3" t="s">
        <v>43</v>
      </c>
    </row>
    <row r="11" spans="1:14" x14ac:dyDescent="0.2">
      <c r="A11" s="30"/>
      <c r="B11" s="3" t="s">
        <v>54</v>
      </c>
      <c r="C11" t="s">
        <v>19</v>
      </c>
      <c r="D11" s="4">
        <v>4</v>
      </c>
      <c r="E11" s="4"/>
      <c r="F11" s="4">
        <f>Octobre[[#This Row],[TPS Période(h)]]+Septembre[[#This Row],[TPS Cumul (h)]]</f>
        <v>0</v>
      </c>
      <c r="G11" s="4">
        <f>MAX(Octobre[[#This Row],[CI (h)]]-Octobre[[#This Row],[TPS Cumul (h)]], 0)</f>
        <v>4</v>
      </c>
      <c r="H11" s="4">
        <f>Octobre[[#This Row],[TPS Cumul (h)]]+Octobre[[#This Row],[RPS (h)]]</f>
        <v>4</v>
      </c>
      <c r="I11" s="4">
        <f>Octobre[[#This Row],[CI (h)]]-Octobre[[#This Row],[CR (h)]]</f>
        <v>0</v>
      </c>
      <c r="J11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11" s="4">
        <f>Octobre[[#This Row],[CI (h)]]*Octobre[[#This Row],[PRU (€)]]</f>
        <v>128</v>
      </c>
      <c r="L11" s="4">
        <f>Octobre[[#This Row],[CR (h)]]*Octobre[[#This Row],[PRU (€)]]</f>
        <v>128</v>
      </c>
      <c r="M11" s="4">
        <f>Octobre[[#This Row],[PRU (€)]]*Octobre[[#This Row],[TPS Cumul (h)]]</f>
        <v>0</v>
      </c>
      <c r="N11" s="3" t="s">
        <v>43</v>
      </c>
    </row>
    <row r="12" spans="1:14" x14ac:dyDescent="0.2">
      <c r="A12" s="30"/>
      <c r="B12" s="3" t="s">
        <v>55</v>
      </c>
      <c r="C12" t="s">
        <v>19</v>
      </c>
      <c r="D12" s="4">
        <v>1</v>
      </c>
      <c r="E12" s="4">
        <v>3</v>
      </c>
      <c r="F12" s="4">
        <f>Octobre[[#This Row],[TPS Période(h)]]+Septembre[[#This Row],[TPS Cumul (h)]]</f>
        <v>3</v>
      </c>
      <c r="G12" s="4">
        <f>MAX(Octobre[[#This Row],[CI (h)]]-Octobre[[#This Row],[TPS Cumul (h)]], 0)</f>
        <v>0</v>
      </c>
      <c r="H12" s="4">
        <f>Octobre[[#This Row],[TPS Cumul (h)]]+Octobre[[#This Row],[RPS (h)]]</f>
        <v>3</v>
      </c>
      <c r="I12" s="4">
        <f>Octobre[[#This Row],[CI (h)]]-Octobre[[#This Row],[CR (h)]]</f>
        <v>-2</v>
      </c>
      <c r="J12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12" s="4">
        <f>Octobre[[#This Row],[CI (h)]]*Octobre[[#This Row],[PRU (€)]]</f>
        <v>32</v>
      </c>
      <c r="L12" s="4">
        <f>Octobre[[#This Row],[CR (h)]]*Octobre[[#This Row],[PRU (€)]]</f>
        <v>96</v>
      </c>
      <c r="M12" s="4">
        <f>Octobre[[#This Row],[PRU (€)]]*Octobre[[#This Row],[TPS Cumul (h)]]</f>
        <v>96</v>
      </c>
      <c r="N12" s="3" t="s">
        <v>43</v>
      </c>
    </row>
    <row r="13" spans="1:14" x14ac:dyDescent="0.2">
      <c r="A13" s="30"/>
      <c r="B13" s="3" t="s">
        <v>56</v>
      </c>
      <c r="C13" t="s">
        <v>19</v>
      </c>
      <c r="D13" s="4">
        <v>2</v>
      </c>
      <c r="E13" s="4">
        <v>1</v>
      </c>
      <c r="F13" s="4">
        <f>Octobre[[#This Row],[TPS Période(h)]]+Septembre[[#This Row],[TPS Cumul (h)]]</f>
        <v>1</v>
      </c>
      <c r="G13" s="4">
        <f>MAX(Octobre[[#This Row],[CI (h)]]-Octobre[[#This Row],[TPS Cumul (h)]], 0)</f>
        <v>1</v>
      </c>
      <c r="H13" s="4">
        <f>Octobre[[#This Row],[TPS Cumul (h)]]+Octobre[[#This Row],[RPS (h)]]</f>
        <v>2</v>
      </c>
      <c r="I13" s="4">
        <f>Octobre[[#This Row],[CI (h)]]-Octobre[[#This Row],[CR (h)]]</f>
        <v>0</v>
      </c>
      <c r="J13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13" s="4">
        <f>Octobre[[#This Row],[CI (h)]]*Octobre[[#This Row],[PRU (€)]]</f>
        <v>64</v>
      </c>
      <c r="L13" s="4">
        <f>Octobre[[#This Row],[CR (h)]]*Octobre[[#This Row],[PRU (€)]]</f>
        <v>64</v>
      </c>
      <c r="M13" s="4">
        <f>Octobre[[#This Row],[PRU (€)]]*Octobre[[#This Row],[TPS Cumul (h)]]</f>
        <v>32</v>
      </c>
      <c r="N13" s="3" t="s">
        <v>43</v>
      </c>
    </row>
    <row r="14" spans="1:14" x14ac:dyDescent="0.2">
      <c r="A14" s="26" t="s">
        <v>30</v>
      </c>
      <c r="B14" s="3" t="s">
        <v>57</v>
      </c>
      <c r="C14" t="s">
        <v>19</v>
      </c>
      <c r="D14" s="4">
        <v>7</v>
      </c>
      <c r="E14" s="4"/>
      <c r="F14" s="4">
        <f>Octobre[[#This Row],[TPS Période(h)]]+Septembre[[#This Row],[TPS Cumul (h)]]</f>
        <v>0</v>
      </c>
      <c r="G14" s="4">
        <f>MAX(Octobre[[#This Row],[CI (h)]]-Octobre[[#This Row],[TPS Cumul (h)]], 0)</f>
        <v>7</v>
      </c>
      <c r="H14" s="4">
        <f>Octobre[[#This Row],[TPS Cumul (h)]]+Octobre[[#This Row],[RPS (h)]]</f>
        <v>7</v>
      </c>
      <c r="I14" s="4">
        <f>Octobre[[#This Row],[CI (h)]]-Octobre[[#This Row],[CR (h)]]</f>
        <v>0</v>
      </c>
      <c r="J14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14" s="4">
        <f>Octobre[[#This Row],[CI (h)]]*Octobre[[#This Row],[PRU (€)]]</f>
        <v>224</v>
      </c>
      <c r="L14" s="4">
        <f>Octobre[[#This Row],[CR (h)]]*Octobre[[#This Row],[PRU (€)]]</f>
        <v>224</v>
      </c>
      <c r="M14" s="4">
        <f>Octobre[[#This Row],[PRU (€)]]*Octobre[[#This Row],[TPS Cumul (h)]]</f>
        <v>0</v>
      </c>
      <c r="N14" s="3" t="s">
        <v>43</v>
      </c>
    </row>
    <row r="15" spans="1:14" x14ac:dyDescent="0.2">
      <c r="A15" s="26"/>
      <c r="B15" s="3" t="s">
        <v>58</v>
      </c>
      <c r="C15" t="s">
        <v>19</v>
      </c>
      <c r="D15" s="4">
        <v>7</v>
      </c>
      <c r="E15" s="19">
        <v>2</v>
      </c>
      <c r="F15" s="19">
        <f>Octobre[[#This Row],[TPS Période(h)]]+Septembre[[#This Row],[TPS Cumul (h)]]</f>
        <v>2</v>
      </c>
      <c r="G15" s="19">
        <f>MAX(Octobre[[#This Row],[CI (h)]]-Octobre[[#This Row],[TPS Cumul (h)]], 0)</f>
        <v>5</v>
      </c>
      <c r="H15" s="19">
        <f>Octobre[[#This Row],[TPS Cumul (h)]]+Octobre[[#This Row],[RPS (h)]]</f>
        <v>7</v>
      </c>
      <c r="I15" s="19">
        <f>Octobre[[#This Row],[CI (h)]]-Octobre[[#This Row],[CR (h)]]</f>
        <v>0</v>
      </c>
      <c r="J15" s="19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15" s="4">
        <f>Octobre[[#This Row],[CI (h)]]*Octobre[[#This Row],[PRU (€)]]</f>
        <v>224</v>
      </c>
      <c r="L15" s="19">
        <f>Octobre[[#This Row],[CR (h)]]*Octobre[[#This Row],[PRU (€)]]</f>
        <v>224</v>
      </c>
      <c r="M15" s="19">
        <f>Octobre[[#This Row],[PRU (€)]]*Octobre[[#This Row],[TPS Cumul (h)]]</f>
        <v>64</v>
      </c>
      <c r="N15" s="3"/>
    </row>
    <row r="16" spans="1:14" x14ac:dyDescent="0.2">
      <c r="A16" s="26"/>
      <c r="B16" s="3" t="s">
        <v>59</v>
      </c>
      <c r="C16" t="s">
        <v>19</v>
      </c>
      <c r="D16" s="19">
        <v>4</v>
      </c>
      <c r="E16" s="4"/>
      <c r="F16" s="4">
        <f>Octobre[[#This Row],[TPS Période(h)]]+Septembre[[#This Row],[TPS Cumul (h)]]</f>
        <v>0</v>
      </c>
      <c r="G16" s="4">
        <f>MAX(Octobre[[#This Row],[CI (h)]]-Octobre[[#This Row],[TPS Cumul (h)]], 0)</f>
        <v>4</v>
      </c>
      <c r="H16" s="4">
        <f>Octobre[[#This Row],[TPS Cumul (h)]]+Octobre[[#This Row],[RPS (h)]]</f>
        <v>4</v>
      </c>
      <c r="I16" s="4">
        <f>Octobre[[#This Row],[CI (h)]]-Octobre[[#This Row],[CR (h)]]</f>
        <v>0</v>
      </c>
      <c r="J16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16" s="4">
        <f>Octobre[[#This Row],[CI (h)]]*Octobre[[#This Row],[PRU (€)]]</f>
        <v>128</v>
      </c>
      <c r="L16" s="4">
        <f>Octobre[[#This Row],[CR (h)]]*Octobre[[#This Row],[PRU (€)]]</f>
        <v>128</v>
      </c>
      <c r="M16" s="4">
        <f>Octobre[[#This Row],[PRU (€)]]*Octobre[[#This Row],[TPS Cumul (h)]]</f>
        <v>0</v>
      </c>
      <c r="N16" s="3" t="s">
        <v>43</v>
      </c>
    </row>
    <row r="17" spans="1:14" x14ac:dyDescent="0.2">
      <c r="A17" s="26"/>
      <c r="B17" s="3" t="s">
        <v>60</v>
      </c>
      <c r="C17" t="s">
        <v>19</v>
      </c>
      <c r="D17" s="4">
        <v>3</v>
      </c>
      <c r="E17" s="4">
        <v>2</v>
      </c>
      <c r="F17" s="4">
        <f>Octobre[[#This Row],[TPS Période(h)]]+Septembre[[#This Row],[TPS Cumul (h)]]</f>
        <v>2</v>
      </c>
      <c r="G17" s="4">
        <f>MAX(Octobre[[#This Row],[CI (h)]]-Octobre[[#This Row],[TPS Cumul (h)]], 0)</f>
        <v>1</v>
      </c>
      <c r="H17" s="4">
        <f>Octobre[[#This Row],[TPS Cumul (h)]]+Octobre[[#This Row],[RPS (h)]]</f>
        <v>3</v>
      </c>
      <c r="I17" s="4">
        <f>Octobre[[#This Row],[CI (h)]]-Octobre[[#This Row],[CR (h)]]</f>
        <v>0</v>
      </c>
      <c r="J17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17" s="4">
        <f>Octobre[[#This Row],[CI (h)]]*Octobre[[#This Row],[PRU (€)]]</f>
        <v>96</v>
      </c>
      <c r="L17" s="4">
        <f>Octobre[[#This Row],[CR (h)]]*Octobre[[#This Row],[PRU (€)]]</f>
        <v>96</v>
      </c>
      <c r="M17" s="4">
        <f>Octobre[[#This Row],[PRU (€)]]*Octobre[[#This Row],[TPS Cumul (h)]]</f>
        <v>64</v>
      </c>
      <c r="N17" s="3" t="s">
        <v>43</v>
      </c>
    </row>
    <row r="18" spans="1:14" x14ac:dyDescent="0.2">
      <c r="A18" s="35" t="s">
        <v>31</v>
      </c>
      <c r="B18" s="3" t="s">
        <v>61</v>
      </c>
      <c r="C18" t="s">
        <v>19</v>
      </c>
      <c r="D18" s="4">
        <v>10</v>
      </c>
      <c r="E18" s="4"/>
      <c r="F18" s="4">
        <f>Octobre[[#This Row],[TPS Période(h)]]+Septembre[[#This Row],[TPS Cumul (h)]]</f>
        <v>0</v>
      </c>
      <c r="G18" s="4">
        <f>MAX(Octobre[[#This Row],[CI (h)]]-Octobre[[#This Row],[TPS Cumul (h)]], 0)</f>
        <v>10</v>
      </c>
      <c r="H18" s="4">
        <f>Octobre[[#This Row],[TPS Cumul (h)]]+Octobre[[#This Row],[RPS (h)]]</f>
        <v>10</v>
      </c>
      <c r="I18" s="4">
        <f>Octobre[[#This Row],[CI (h)]]-Octobre[[#This Row],[CR (h)]]</f>
        <v>0</v>
      </c>
      <c r="J18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18" s="4">
        <f>Octobre[[#This Row],[CI (h)]]*Octobre[[#This Row],[PRU (€)]]</f>
        <v>320</v>
      </c>
      <c r="L18" s="4">
        <f>Octobre[[#This Row],[CR (h)]]*Octobre[[#This Row],[PRU (€)]]</f>
        <v>320</v>
      </c>
      <c r="M18" s="4">
        <f>Octobre[[#This Row],[PRU (€)]]*Octobre[[#This Row],[TPS Cumul (h)]]</f>
        <v>0</v>
      </c>
      <c r="N18" s="3" t="s">
        <v>43</v>
      </c>
    </row>
    <row r="19" spans="1:14" x14ac:dyDescent="0.2">
      <c r="A19" s="36"/>
      <c r="B19" s="3" t="s">
        <v>62</v>
      </c>
      <c r="C19" t="s">
        <v>19</v>
      </c>
      <c r="D19" s="4">
        <v>10</v>
      </c>
      <c r="E19" s="4"/>
      <c r="F19" s="4">
        <f>Octobre[[#This Row],[TPS Période(h)]]+Septembre[[#This Row],[TPS Cumul (h)]]</f>
        <v>0</v>
      </c>
      <c r="G19" s="4">
        <f>MAX(Octobre[[#This Row],[CI (h)]]-Octobre[[#This Row],[TPS Cumul (h)]], 0)</f>
        <v>10</v>
      </c>
      <c r="H19" s="4">
        <f>Octobre[[#This Row],[TPS Cumul (h)]]+Octobre[[#This Row],[RPS (h)]]</f>
        <v>10</v>
      </c>
      <c r="I19" s="4">
        <f>Octobre[[#This Row],[CI (h)]]-Octobre[[#This Row],[CR (h)]]</f>
        <v>0</v>
      </c>
      <c r="J19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19" s="4">
        <f>Octobre[[#This Row],[CI (h)]]*Octobre[[#This Row],[PRU (€)]]</f>
        <v>320</v>
      </c>
      <c r="L19" s="4">
        <f>Octobre[[#This Row],[CR (h)]]*Octobre[[#This Row],[PRU (€)]]</f>
        <v>320</v>
      </c>
      <c r="M19" s="4">
        <f>Octobre[[#This Row],[PRU (€)]]*Octobre[[#This Row],[TPS Cumul (h)]]</f>
        <v>0</v>
      </c>
      <c r="N19" s="3" t="s">
        <v>43</v>
      </c>
    </row>
    <row r="20" spans="1:14" x14ac:dyDescent="0.2">
      <c r="A20" s="36"/>
      <c r="B20" s="3" t="s">
        <v>63</v>
      </c>
      <c r="C20" t="s">
        <v>19</v>
      </c>
      <c r="D20" s="4">
        <v>5</v>
      </c>
      <c r="E20" s="4"/>
      <c r="F20" s="4">
        <f>Octobre[[#This Row],[TPS Période(h)]]+Septembre[[#This Row],[TPS Cumul (h)]]</f>
        <v>0</v>
      </c>
      <c r="G20" s="4">
        <f>MAX(Octobre[[#This Row],[CI (h)]]-Octobre[[#This Row],[TPS Cumul (h)]], 0)</f>
        <v>5</v>
      </c>
      <c r="H20" s="4">
        <f>Octobre[[#This Row],[TPS Cumul (h)]]+Octobre[[#This Row],[RPS (h)]]</f>
        <v>5</v>
      </c>
      <c r="I20" s="4">
        <f>Octobre[[#This Row],[CI (h)]]-Octobre[[#This Row],[CR (h)]]</f>
        <v>0</v>
      </c>
      <c r="J20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20" s="4">
        <f>Octobre[[#This Row],[CI (h)]]*Octobre[[#This Row],[PRU (€)]]</f>
        <v>160</v>
      </c>
      <c r="L20" s="4">
        <f>Octobre[[#This Row],[CR (h)]]*Octobre[[#This Row],[PRU (€)]]</f>
        <v>160</v>
      </c>
      <c r="M20" s="4">
        <f>Octobre[[#This Row],[PRU (€)]]*Octobre[[#This Row],[TPS Cumul (h)]]</f>
        <v>0</v>
      </c>
      <c r="N20" s="3" t="s">
        <v>43</v>
      </c>
    </row>
    <row r="21" spans="1:14" x14ac:dyDescent="0.2">
      <c r="A21" s="36"/>
      <c r="B21" s="3" t="s">
        <v>64</v>
      </c>
      <c r="C21" t="s">
        <v>19</v>
      </c>
      <c r="D21" s="4">
        <v>3</v>
      </c>
      <c r="E21" s="4"/>
      <c r="F21" s="4">
        <f>Octobre[[#This Row],[TPS Période(h)]]+Septembre[[#This Row],[TPS Cumul (h)]]</f>
        <v>0</v>
      </c>
      <c r="G21" s="4">
        <f>MAX(Octobre[[#This Row],[CI (h)]]-Octobre[[#This Row],[TPS Cumul (h)]], 0)</f>
        <v>3</v>
      </c>
      <c r="H21" s="4">
        <f>Octobre[[#This Row],[TPS Cumul (h)]]+Octobre[[#This Row],[RPS (h)]]</f>
        <v>3</v>
      </c>
      <c r="I21" s="4">
        <f>Octobre[[#This Row],[CI (h)]]-Octobre[[#This Row],[CR (h)]]</f>
        <v>0</v>
      </c>
      <c r="J21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21" s="4">
        <f>Octobre[[#This Row],[CI (h)]]*Octobre[[#This Row],[PRU (€)]]</f>
        <v>96</v>
      </c>
      <c r="L21" s="4">
        <f>Octobre[[#This Row],[CR (h)]]*Octobre[[#This Row],[PRU (€)]]</f>
        <v>96</v>
      </c>
      <c r="M21" s="4">
        <f>Octobre[[#This Row],[PRU (€)]]*Octobre[[#This Row],[TPS Cumul (h)]]</f>
        <v>0</v>
      </c>
      <c r="N21" s="3" t="s">
        <v>43</v>
      </c>
    </row>
    <row r="22" spans="1:14" x14ac:dyDescent="0.2">
      <c r="A22" s="36"/>
      <c r="B22" s="3" t="s">
        <v>72</v>
      </c>
      <c r="C22" t="s">
        <v>19</v>
      </c>
      <c r="D22" s="4">
        <v>7</v>
      </c>
      <c r="E22" s="4"/>
      <c r="F22" s="4">
        <f>Octobre[[#This Row],[TPS Période(h)]]+Septembre[[#This Row],[TPS Cumul (h)]]</f>
        <v>0</v>
      </c>
      <c r="G22" s="4">
        <f>MAX(Octobre[[#This Row],[CI (h)]]-Octobre[[#This Row],[TPS Cumul (h)]], 0)</f>
        <v>7</v>
      </c>
      <c r="H22" s="4">
        <f>Octobre[[#This Row],[TPS Cumul (h)]]+Octobre[[#This Row],[RPS (h)]]</f>
        <v>7</v>
      </c>
      <c r="I22" s="4">
        <f>Octobre[[#This Row],[CI (h)]]-Octobre[[#This Row],[CR (h)]]</f>
        <v>0</v>
      </c>
      <c r="J22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22" s="4">
        <f>Octobre[[#This Row],[CI (h)]]*Octobre[[#This Row],[PRU (€)]]</f>
        <v>224</v>
      </c>
      <c r="L22" s="4">
        <f>Octobre[[#This Row],[CR (h)]]*Octobre[[#This Row],[PRU (€)]]</f>
        <v>224</v>
      </c>
      <c r="M22" s="4">
        <f>Octobre[[#This Row],[PRU (€)]]*Octobre[[#This Row],[TPS Cumul (h)]]</f>
        <v>0</v>
      </c>
      <c r="N22" s="3" t="s">
        <v>43</v>
      </c>
    </row>
    <row r="23" spans="1:14" x14ac:dyDescent="0.2">
      <c r="A23" s="25" t="s">
        <v>32</v>
      </c>
      <c r="B23" s="3" t="s">
        <v>65</v>
      </c>
      <c r="C23" t="s">
        <v>19</v>
      </c>
      <c r="D23" s="4">
        <v>7</v>
      </c>
      <c r="E23" s="4"/>
      <c r="F23" s="4">
        <f>Octobre[[#This Row],[TPS Période(h)]]+Septembre[[#This Row],[TPS Cumul (h)]]</f>
        <v>0</v>
      </c>
      <c r="G23" s="4">
        <f>MAX(Octobre[[#This Row],[CI (h)]]-Octobre[[#This Row],[TPS Cumul (h)]], 0)</f>
        <v>7</v>
      </c>
      <c r="H23" s="4">
        <f>Octobre[[#This Row],[TPS Cumul (h)]]+Octobre[[#This Row],[RPS (h)]]</f>
        <v>7</v>
      </c>
      <c r="I23" s="4">
        <f>Octobre[[#This Row],[CI (h)]]-Octobre[[#This Row],[CR (h)]]</f>
        <v>0</v>
      </c>
      <c r="J23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23" s="4">
        <f>Octobre[[#This Row],[CI (h)]]*Octobre[[#This Row],[PRU (€)]]</f>
        <v>224</v>
      </c>
      <c r="L23" s="4">
        <f>Octobre[[#This Row],[CR (h)]]*Octobre[[#This Row],[PRU (€)]]</f>
        <v>224</v>
      </c>
      <c r="M23" s="4">
        <f>Octobre[[#This Row],[PRU (€)]]*Octobre[[#This Row],[TPS Cumul (h)]]</f>
        <v>0</v>
      </c>
      <c r="N23" s="3" t="s">
        <v>43</v>
      </c>
    </row>
    <row r="24" spans="1:14" x14ac:dyDescent="0.2">
      <c r="A24" s="25"/>
      <c r="B24" s="3" t="s">
        <v>66</v>
      </c>
      <c r="C24" t="s">
        <v>19</v>
      </c>
      <c r="D24" s="4">
        <v>2</v>
      </c>
      <c r="E24" s="4"/>
      <c r="F24" s="4">
        <f>Octobre[[#This Row],[TPS Période(h)]]+Septembre[[#This Row],[TPS Cumul (h)]]</f>
        <v>0</v>
      </c>
      <c r="G24" s="4">
        <f>MAX(Octobre[[#This Row],[CI (h)]]-Octobre[[#This Row],[TPS Cumul (h)]], 0)</f>
        <v>2</v>
      </c>
      <c r="H24" s="4">
        <f>Octobre[[#This Row],[TPS Cumul (h)]]+Octobre[[#This Row],[RPS (h)]]</f>
        <v>2</v>
      </c>
      <c r="I24" s="4">
        <f>Octobre[[#This Row],[CI (h)]]-Octobre[[#This Row],[CR (h)]]</f>
        <v>0</v>
      </c>
      <c r="J24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24" s="4">
        <f>Octobre[[#This Row],[CI (h)]]*Octobre[[#This Row],[PRU (€)]]</f>
        <v>64</v>
      </c>
      <c r="L24" s="4">
        <f>Octobre[[#This Row],[CR (h)]]*Octobre[[#This Row],[PRU (€)]]</f>
        <v>64</v>
      </c>
      <c r="M24" s="4">
        <f>Octobre[[#This Row],[PRU (€)]]*Octobre[[#This Row],[TPS Cumul (h)]]</f>
        <v>0</v>
      </c>
      <c r="N24" s="3" t="s">
        <v>43</v>
      </c>
    </row>
    <row r="25" spans="1:14" x14ac:dyDescent="0.2">
      <c r="A25" s="37" t="s">
        <v>33</v>
      </c>
      <c r="B25" s="3" t="s">
        <v>67</v>
      </c>
      <c r="C25" t="s">
        <v>19</v>
      </c>
      <c r="D25" s="4">
        <v>2</v>
      </c>
      <c r="E25" s="4"/>
      <c r="F25" s="4">
        <f>Octobre[[#This Row],[TPS Période(h)]]+Septembre[[#This Row],[TPS Cumul (h)]]</f>
        <v>0</v>
      </c>
      <c r="G25" s="4">
        <f>MAX(Octobre[[#This Row],[CI (h)]]-Octobre[[#This Row],[TPS Cumul (h)]], 0)</f>
        <v>2</v>
      </c>
      <c r="H25" s="4">
        <f>Octobre[[#This Row],[TPS Cumul (h)]]+Octobre[[#This Row],[RPS (h)]]</f>
        <v>2</v>
      </c>
      <c r="I25" s="4">
        <f>Octobre[[#This Row],[CI (h)]]-Octobre[[#This Row],[CR (h)]]</f>
        <v>0</v>
      </c>
      <c r="J25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25" s="4">
        <f>Octobre[[#This Row],[CI (h)]]*Octobre[[#This Row],[PRU (€)]]</f>
        <v>64</v>
      </c>
      <c r="L25" s="4">
        <f>Octobre[[#This Row],[CR (h)]]*Octobre[[#This Row],[PRU (€)]]</f>
        <v>64</v>
      </c>
      <c r="M25" s="4">
        <f>Octobre[[#This Row],[PRU (€)]]*Octobre[[#This Row],[TPS Cumul (h)]]</f>
        <v>0</v>
      </c>
      <c r="N25" s="3" t="s">
        <v>43</v>
      </c>
    </row>
    <row r="26" spans="1:14" x14ac:dyDescent="0.2">
      <c r="A26" s="38"/>
      <c r="B26" s="3" t="s">
        <v>68</v>
      </c>
      <c r="C26" t="s">
        <v>19</v>
      </c>
      <c r="D26" s="4">
        <v>2</v>
      </c>
      <c r="E26" s="4"/>
      <c r="F26" s="4">
        <f>Octobre[[#This Row],[TPS Période(h)]]+Septembre[[#This Row],[TPS Cumul (h)]]</f>
        <v>0</v>
      </c>
      <c r="G26" s="4">
        <f>MAX(Octobre[[#This Row],[CI (h)]]-Octobre[[#This Row],[TPS Cumul (h)]], 0)</f>
        <v>2</v>
      </c>
      <c r="H26" s="4">
        <f>Octobre[[#This Row],[TPS Cumul (h)]]+Octobre[[#This Row],[RPS (h)]]</f>
        <v>2</v>
      </c>
      <c r="I26" s="4">
        <f>Octobre[[#This Row],[CI (h)]]-Octobre[[#This Row],[CR (h)]]</f>
        <v>0</v>
      </c>
      <c r="J26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26" s="4">
        <f>Octobre[[#This Row],[CI (h)]]*Octobre[[#This Row],[PRU (€)]]</f>
        <v>64</v>
      </c>
      <c r="L26" s="4">
        <f>Octobre[[#This Row],[CR (h)]]*Octobre[[#This Row],[PRU (€)]]</f>
        <v>64</v>
      </c>
      <c r="M26" s="4">
        <f>Octobre[[#This Row],[PRU (€)]]*Octobre[[#This Row],[TPS Cumul (h)]]</f>
        <v>0</v>
      </c>
      <c r="N26" s="3" t="s">
        <v>43</v>
      </c>
    </row>
    <row r="27" spans="1:14" x14ac:dyDescent="0.2">
      <c r="A27" s="22" t="s">
        <v>34</v>
      </c>
      <c r="B27" s="8" t="s">
        <v>69</v>
      </c>
      <c r="C27" t="s">
        <v>19</v>
      </c>
      <c r="D27" s="4">
        <v>10</v>
      </c>
      <c r="E27" s="4"/>
      <c r="F27" s="4">
        <f>Octobre[[#This Row],[TPS Période(h)]]+Septembre[[#This Row],[TPS Cumul (h)]]</f>
        <v>0</v>
      </c>
      <c r="G27" s="4">
        <f>MAX(Octobre[[#This Row],[CI (h)]]-Octobre[[#This Row],[TPS Cumul (h)]], 0)</f>
        <v>10</v>
      </c>
      <c r="H27" s="4">
        <f>Octobre[[#This Row],[TPS Cumul (h)]]+Octobre[[#This Row],[RPS (h)]]</f>
        <v>10</v>
      </c>
      <c r="I27" s="4">
        <f>Octobre[[#This Row],[CI (h)]]-Octobre[[#This Row],[CR (h)]]</f>
        <v>0</v>
      </c>
      <c r="J27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27" s="4">
        <f>Octobre[[#This Row],[CI (h)]]*Octobre[[#This Row],[PRU (€)]]</f>
        <v>320</v>
      </c>
      <c r="L27" s="4">
        <f>Octobre[[#This Row],[CR (h)]]*Octobre[[#This Row],[PRU (€)]]</f>
        <v>320</v>
      </c>
      <c r="M27" s="4">
        <f>Octobre[[#This Row],[PRU (€)]]*Octobre[[#This Row],[TPS Cumul (h)]]</f>
        <v>0</v>
      </c>
      <c r="N27" s="3" t="s">
        <v>43</v>
      </c>
    </row>
    <row r="28" spans="1:14" x14ac:dyDescent="0.2">
      <c r="A28" s="22"/>
      <c r="B28" s="8" t="s">
        <v>71</v>
      </c>
      <c r="C28" t="s">
        <v>19</v>
      </c>
      <c r="D28" s="4">
        <v>2</v>
      </c>
      <c r="E28" s="4"/>
      <c r="F28" s="4">
        <f>Octobre[[#This Row],[TPS Période(h)]]+Septembre[[#This Row],[TPS Cumul (h)]]</f>
        <v>0</v>
      </c>
      <c r="G28" s="4">
        <f>MAX(Octobre[[#This Row],[CI (h)]]-Octobre[[#This Row],[TPS Cumul (h)]], 0)</f>
        <v>2</v>
      </c>
      <c r="H28" s="4">
        <f>Octobre[[#This Row],[TPS Cumul (h)]]+Octobre[[#This Row],[RPS (h)]]</f>
        <v>2</v>
      </c>
      <c r="I28" s="4">
        <f>Octobre[[#This Row],[CI (h)]]-Octobre[[#This Row],[CR (h)]]</f>
        <v>0</v>
      </c>
      <c r="J28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28" s="4">
        <f>Octobre[[#This Row],[CI (h)]]*Octobre[[#This Row],[PRU (€)]]</f>
        <v>64</v>
      </c>
      <c r="L28" s="4">
        <f>Octobre[[#This Row],[CR (h)]]*Octobre[[#This Row],[PRU (€)]]</f>
        <v>64</v>
      </c>
      <c r="M28" s="4">
        <f>Octobre[[#This Row],[PRU (€)]]*Octobre[[#This Row],[TPS Cumul (h)]]</f>
        <v>0</v>
      </c>
      <c r="N28" s="3" t="s">
        <v>43</v>
      </c>
    </row>
    <row r="29" spans="1:14" x14ac:dyDescent="0.2">
      <c r="A29" s="32" t="s">
        <v>35</v>
      </c>
      <c r="B29" s="3" t="s">
        <v>70</v>
      </c>
      <c r="C29" t="s">
        <v>19</v>
      </c>
      <c r="D29" s="4">
        <v>3</v>
      </c>
      <c r="E29" s="4"/>
      <c r="F29" s="4">
        <f>Octobre[[#This Row],[TPS Période(h)]]+Septembre[[#This Row],[TPS Cumul (h)]]</f>
        <v>0</v>
      </c>
      <c r="G29" s="4">
        <f>MAX(Octobre[[#This Row],[CI (h)]]-Octobre[[#This Row],[TPS Cumul (h)]], 0)</f>
        <v>3</v>
      </c>
      <c r="H29" s="4">
        <f>Octobre[[#This Row],[TPS Cumul (h)]]+Octobre[[#This Row],[RPS (h)]]</f>
        <v>3</v>
      </c>
      <c r="I29" s="4">
        <f>Octobre[[#This Row],[CI (h)]]-Octobre[[#This Row],[CR (h)]]</f>
        <v>0</v>
      </c>
      <c r="J29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29" s="4">
        <f>Octobre[[#This Row],[CI (h)]]*Octobre[[#This Row],[PRU (€)]]</f>
        <v>96</v>
      </c>
      <c r="L29" s="4">
        <f>Octobre[[#This Row],[CR (h)]]*Octobre[[#This Row],[PRU (€)]]</f>
        <v>96</v>
      </c>
      <c r="M29" s="4">
        <f>Octobre[[#This Row],[PRU (€)]]*Octobre[[#This Row],[TPS Cumul (h)]]</f>
        <v>0</v>
      </c>
      <c r="N29" s="3" t="s">
        <v>43</v>
      </c>
    </row>
    <row r="30" spans="1:14" x14ac:dyDescent="0.2">
      <c r="A30" s="26"/>
      <c r="B30" s="3" t="s">
        <v>73</v>
      </c>
      <c r="C30" t="s">
        <v>19</v>
      </c>
      <c r="D30" s="4">
        <v>0</v>
      </c>
      <c r="E30" s="4"/>
      <c r="F30" s="4">
        <f>Octobre[[#This Row],[TPS Période(h)]]+Septembre[[#This Row],[TPS Cumul (h)]]</f>
        <v>0</v>
      </c>
      <c r="G30" s="4">
        <f>MAX(Octobre[[#This Row],[CI (h)]]-Octobre[[#This Row],[TPS Cumul (h)]], 0)</f>
        <v>0</v>
      </c>
      <c r="H30" s="4">
        <f>Octobre[[#This Row],[TPS Cumul (h)]]+Octobre[[#This Row],[RPS (h)]]</f>
        <v>0</v>
      </c>
      <c r="I30" s="4">
        <f>Octobre[[#This Row],[CI (h)]]-Octobre[[#This Row],[CR (h)]]</f>
        <v>0</v>
      </c>
      <c r="J30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30" s="4">
        <f>Octobre[[#This Row],[CI (h)]]*Octobre[[#This Row],[PRU (€)]]</f>
        <v>0</v>
      </c>
      <c r="L30" s="4">
        <f>Octobre[[#This Row],[CR (h)]]*Octobre[[#This Row],[PRU (€)]]</f>
        <v>0</v>
      </c>
      <c r="M30" s="4">
        <f>Octobre[[#This Row],[PRU (€)]]*Octobre[[#This Row],[TPS Cumul (h)]]</f>
        <v>0</v>
      </c>
      <c r="N30" s="3" t="s">
        <v>43</v>
      </c>
    </row>
    <row r="31" spans="1:14" x14ac:dyDescent="0.2">
      <c r="A31" s="26"/>
      <c r="B31" s="3" t="s">
        <v>74</v>
      </c>
      <c r="C31" t="s">
        <v>19</v>
      </c>
      <c r="D31" s="4">
        <v>0</v>
      </c>
      <c r="E31" s="4"/>
      <c r="F31" s="4">
        <f>Octobre[[#This Row],[TPS Période(h)]]+Septembre[[#This Row],[TPS Cumul (h)]]</f>
        <v>0</v>
      </c>
      <c r="G31" s="4">
        <f>MAX(Octobre[[#This Row],[CI (h)]]-Octobre[[#This Row],[TPS Cumul (h)]], 0)</f>
        <v>0</v>
      </c>
      <c r="H31" s="4">
        <f>Octobre[[#This Row],[TPS Cumul (h)]]+Octobre[[#This Row],[RPS (h)]]</f>
        <v>0</v>
      </c>
      <c r="I31" s="4">
        <f>Octobre[[#This Row],[CI (h)]]-Octobre[[#This Row],[CR (h)]]</f>
        <v>0</v>
      </c>
      <c r="J31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31" s="4">
        <f>Octobre[[#This Row],[CI (h)]]*Octobre[[#This Row],[PRU (€)]]</f>
        <v>0</v>
      </c>
      <c r="L31" s="4">
        <f>Octobre[[#This Row],[CR (h)]]*Octobre[[#This Row],[PRU (€)]]</f>
        <v>0</v>
      </c>
      <c r="M31" s="4">
        <f>Octobre[[#This Row],[PRU (€)]]*Octobre[[#This Row],[TPS Cumul (h)]]</f>
        <v>0</v>
      </c>
      <c r="N31" s="3" t="s">
        <v>43</v>
      </c>
    </row>
    <row r="32" spans="1:14" x14ac:dyDescent="0.2">
      <c r="B32" s="2" t="s">
        <v>21</v>
      </c>
      <c r="C32" s="2"/>
      <c r="D32" s="2">
        <f>SUBTOTAL(109,Octobre[CI (h)])</f>
        <v>120</v>
      </c>
      <c r="E32" s="2">
        <f>SUBTOTAL(109,Octobre[TPS Période(h)])</f>
        <v>29</v>
      </c>
      <c r="F32" s="2">
        <f>SUBTOTAL(109,Octobre[TPS Cumul (h)])</f>
        <v>45</v>
      </c>
      <c r="G32" s="2">
        <f>SUBTOTAL(109,Octobre[RPS (h)])</f>
        <v>93</v>
      </c>
      <c r="H32" s="2">
        <f>SUBTOTAL(109,Octobre[CR (h)])</f>
        <v>138</v>
      </c>
      <c r="I32" s="2">
        <f>SUBTOTAL(109,Octobre[EC (h)])</f>
        <v>-18</v>
      </c>
      <c r="J32" s="2">
        <f>SUBTOTAL(109,Octobre[PRU (€)])</f>
        <v>0</v>
      </c>
      <c r="K32" s="2">
        <f>SUBTOTAL(109,Octobre[Coût Initial (€)])</f>
        <v>3840</v>
      </c>
      <c r="L32" s="1">
        <f>SUBTOTAL(109,Octobre[Coût Révisé (€)])</f>
        <v>4416</v>
      </c>
      <c r="M32" s="2">
        <f>SUBTOTAL(109,Octobre[Coût Réel])</f>
        <v>1440</v>
      </c>
      <c r="N32" s="3"/>
    </row>
    <row r="33" spans="2:14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6" spans="2:14" x14ac:dyDescent="0.2">
      <c r="B36" s="7" t="s">
        <v>23</v>
      </c>
      <c r="C36" s="7" t="s">
        <v>40</v>
      </c>
      <c r="D36" s="7" t="s">
        <v>26</v>
      </c>
      <c r="N36" s="5" t="s">
        <v>41</v>
      </c>
    </row>
    <row r="37" spans="2:14" x14ac:dyDescent="0.2">
      <c r="B37" s="5" t="s">
        <v>24</v>
      </c>
      <c r="C37" s="5">
        <f>SUMIFS(Octobre[CI (h)], Octobre[Qui], "Chef de Projet")</f>
        <v>120</v>
      </c>
      <c r="D37" s="5">
        <v>68</v>
      </c>
      <c r="N37" s="5" t="s">
        <v>42</v>
      </c>
    </row>
    <row r="38" spans="2:14" x14ac:dyDescent="0.2">
      <c r="B38" s="5" t="s">
        <v>21</v>
      </c>
      <c r="C38" s="5">
        <f>SUM(C37:C37)</f>
        <v>120</v>
      </c>
      <c r="D38" s="5"/>
    </row>
  </sheetData>
  <mergeCells count="8">
    <mergeCell ref="A29:A31"/>
    <mergeCell ref="A4:A9"/>
    <mergeCell ref="A2:A3"/>
    <mergeCell ref="A10:A13"/>
    <mergeCell ref="A14:A17"/>
    <mergeCell ref="A18:A22"/>
    <mergeCell ref="A23:A24"/>
    <mergeCell ref="A25:A26"/>
  </mergeCells>
  <conditionalFormatting sqref="B2:B3">
    <cfRule type="expression" dxfId="134" priority="7">
      <formula>$F2&gt;0</formula>
    </cfRule>
  </conditionalFormatting>
  <conditionalFormatting sqref="B4:B9">
    <cfRule type="expression" dxfId="133" priority="10">
      <formula>#REF!&gt;0</formula>
    </cfRule>
  </conditionalFormatting>
  <conditionalFormatting sqref="B6">
    <cfRule type="expression" dxfId="132" priority="11">
      <formula>$F4&gt;0</formula>
    </cfRule>
  </conditionalFormatting>
  <conditionalFormatting sqref="B7:B8">
    <cfRule type="expression" dxfId="131" priority="20">
      <formula>$F12&gt;0</formula>
    </cfRule>
  </conditionalFormatting>
  <conditionalFormatting sqref="B9">
    <cfRule type="expression" dxfId="130" priority="19">
      <formula>$F13&gt;0</formula>
    </cfRule>
  </conditionalFormatting>
  <conditionalFormatting sqref="B11">
    <cfRule type="expression" dxfId="129" priority="14">
      <formula>#REF!&gt;0</formula>
    </cfRule>
  </conditionalFormatting>
  <conditionalFormatting sqref="B12:B13">
    <cfRule type="expression" dxfId="128" priority="13">
      <formula>$F15&gt;0</formula>
    </cfRule>
  </conditionalFormatting>
  <conditionalFormatting sqref="B14:B18">
    <cfRule type="expression" dxfId="127" priority="8">
      <formula>#REF!&gt;0</formula>
    </cfRule>
  </conditionalFormatting>
  <conditionalFormatting sqref="B21:B29">
    <cfRule type="expression" dxfId="126" priority="3">
      <formula>#REF!&gt;0</formula>
    </cfRule>
  </conditionalFormatting>
  <conditionalFormatting sqref="B22 B24:B27 B29">
    <cfRule type="expression" dxfId="125" priority="15">
      <formula>$N22="Oui"</formula>
    </cfRule>
    <cfRule type="expression" dxfId="124" priority="16">
      <formula>$F22&gt;0</formula>
    </cfRule>
  </conditionalFormatting>
  <conditionalFormatting sqref="B22">
    <cfRule type="expression" dxfId="123" priority="17">
      <formula>$N18="Oui"</formula>
    </cfRule>
    <cfRule type="expression" dxfId="122" priority="18">
      <formula>$F18&gt;0</formula>
    </cfRule>
  </conditionalFormatting>
  <conditionalFormatting sqref="B25:B29">
    <cfRule type="expression" dxfId="121" priority="23">
      <formula>#REF!="Oui"</formula>
    </cfRule>
    <cfRule type="expression" dxfId="120" priority="24">
      <formula>#REF!&gt;0</formula>
    </cfRule>
  </conditionalFormatting>
  <conditionalFormatting sqref="B28">
    <cfRule type="expression" dxfId="119" priority="21">
      <formula>#REF!="Oui"</formula>
    </cfRule>
    <cfRule type="expression" dxfId="118" priority="22">
      <formula>#REF!&gt;0</formula>
    </cfRule>
    <cfRule type="expression" dxfId="117" priority="29">
      <formula>$N30="Oui"</formula>
    </cfRule>
    <cfRule type="expression" dxfId="116" priority="30">
      <formula>$F30&gt;0</formula>
    </cfRule>
    <cfRule type="expression" dxfId="115" priority="31">
      <formula>#REF!="Oui"</formula>
    </cfRule>
    <cfRule type="expression" dxfId="114" priority="32">
      <formula>#REF!&gt;0</formula>
    </cfRule>
  </conditionalFormatting>
  <conditionalFormatting sqref="C2:C31 E2:M31">
    <cfRule type="expression" dxfId="113" priority="48">
      <formula>$F2&gt;0</formula>
    </cfRule>
  </conditionalFormatting>
  <conditionalFormatting sqref="D2:D31">
    <cfRule type="expression" dxfId="112" priority="1">
      <formula>$F2&gt;0</formula>
    </cfRule>
  </conditionalFormatting>
  <dataValidations count="2">
    <dataValidation type="list" allowBlank="1" showInputMessage="1" showErrorMessage="1" sqref="C2:C31" xr:uid="{4233881E-340E-466B-B9C9-93E6B7C98E2C}">
      <formula1>$B$37:$B$37</formula1>
    </dataValidation>
    <dataValidation type="list" allowBlank="1" showInputMessage="1" showErrorMessage="1" sqref="N2:N31" xr:uid="{9508132C-B552-4702-8379-6AFD28EB0624}">
      <formula1>$N$37:$N$37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67A0-F951-4D34-A349-925DD9425BDD}">
  <dimension ref="A1:N38"/>
  <sheetViews>
    <sheetView zoomScale="70" zoomScaleNormal="70" workbookViewId="0">
      <selection activeCell="D2" sqref="D2:D31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16.83203125" bestFit="1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4" max="14" width="15.5" customWidth="1"/>
  </cols>
  <sheetData>
    <row r="1" spans="1:14" x14ac:dyDescent="0.2">
      <c r="A1" s="9" t="s">
        <v>27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2" t="s">
        <v>16</v>
      </c>
      <c r="L1" s="12" t="s">
        <v>17</v>
      </c>
      <c r="M1" s="12" t="s">
        <v>18</v>
      </c>
      <c r="N1" s="12" t="s">
        <v>34</v>
      </c>
    </row>
    <row r="2" spans="1:14" x14ac:dyDescent="0.2">
      <c r="A2" s="25" t="s">
        <v>28</v>
      </c>
      <c r="B2" s="8" t="s">
        <v>45</v>
      </c>
      <c r="C2" t="s">
        <v>24</v>
      </c>
      <c r="D2" s="4">
        <v>1</v>
      </c>
      <c r="E2" s="4">
        <v>0</v>
      </c>
      <c r="F2" s="4">
        <f>Novembre[[#This Row],[TPS Période(h)]]+Octobre[[#This Row],[TPS Cumul (h)]]</f>
        <v>2</v>
      </c>
      <c r="G2" s="4">
        <f>MAX(Novembre[[#This Row],[CI (h)]]-Novembre[[#This Row],[TPS Cumul (h)]], 0)</f>
        <v>0</v>
      </c>
      <c r="H2" s="4">
        <f>Novembre[[#This Row],[TPS Cumul (h)]]+Novembre[[#This Row],[RPS (h)]]</f>
        <v>2</v>
      </c>
      <c r="I2" s="4">
        <f>Novembre[[#This Row],[CI (h)]]-Novembre[[#This Row],[CR (h)]]</f>
        <v>-1</v>
      </c>
      <c r="J2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" s="4">
        <f>Novembre[[#This Row],[CI (h)]]*Novembre[[#This Row],[PRU (€)]]</f>
        <v>68</v>
      </c>
      <c r="L2" s="4">
        <f>Novembre[[#This Row],[CR (h)]]*Novembre[[#This Row],[PRU (€)]]</f>
        <v>136</v>
      </c>
      <c r="M2" s="4">
        <f>Novembre[[#This Row],[PRU (€)]]*Novembre[[#This Row],[TPS Cumul (h)]]</f>
        <v>136</v>
      </c>
      <c r="N2" s="1" t="s">
        <v>43</v>
      </c>
    </row>
    <row r="3" spans="1:14" x14ac:dyDescent="0.2">
      <c r="A3" s="34"/>
      <c r="B3" s="8" t="s">
        <v>46</v>
      </c>
      <c r="C3" t="s">
        <v>19</v>
      </c>
      <c r="D3" s="4">
        <v>10</v>
      </c>
      <c r="E3" s="4">
        <v>0</v>
      </c>
      <c r="F3" s="4">
        <f>Novembre[[#This Row],[TPS Période(h)]]+Octobre[[#This Row],[TPS Cumul (h)]]</f>
        <v>19</v>
      </c>
      <c r="G3" s="4">
        <f>MAX(Novembre[[#This Row],[CI (h)]]-Novembre[[#This Row],[TPS Cumul (h)]], 0)</f>
        <v>0</v>
      </c>
      <c r="H3" s="4">
        <f>Novembre[[#This Row],[TPS Cumul (h)]]+Novembre[[#This Row],[RPS (h)]]</f>
        <v>19</v>
      </c>
      <c r="I3" s="4">
        <f>Novembre[[#This Row],[CI (h)]]-Novembre[[#This Row],[CR (h)]]</f>
        <v>-9</v>
      </c>
      <c r="J3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3" s="4">
        <f>Novembre[[#This Row],[CI (h)]]*Novembre[[#This Row],[PRU (€)]]</f>
        <v>680</v>
      </c>
      <c r="L3" s="4">
        <f>Novembre[[#This Row],[CR (h)]]*Novembre[[#This Row],[PRU (€)]]</f>
        <v>1292</v>
      </c>
      <c r="M3" s="4">
        <f>Novembre[[#This Row],[PRU (€)]]*Novembre[[#This Row],[TPS Cumul (h)]]</f>
        <v>1292</v>
      </c>
      <c r="N3" s="1" t="s">
        <v>43</v>
      </c>
    </row>
    <row r="4" spans="1:14" x14ac:dyDescent="0.2">
      <c r="A4" s="33" t="s">
        <v>20</v>
      </c>
      <c r="B4" s="24" t="s">
        <v>47</v>
      </c>
      <c r="C4" s="13" t="s">
        <v>19</v>
      </c>
      <c r="D4" s="4">
        <v>5</v>
      </c>
      <c r="E4" s="14">
        <v>0</v>
      </c>
      <c r="F4" s="14">
        <f>Novembre[[#This Row],[TPS Période(h)]]+Octobre[[#This Row],[TPS Cumul (h)]]</f>
        <v>11</v>
      </c>
      <c r="G4" s="14">
        <f>MAX(Novembre[[#This Row],[CI (h)]]-Novembre[[#This Row],[TPS Cumul (h)]], 0)</f>
        <v>0</v>
      </c>
      <c r="H4" s="14">
        <f>Novembre[[#This Row],[TPS Cumul (h)]]+Novembre[[#This Row],[RPS (h)]]</f>
        <v>11</v>
      </c>
      <c r="I4" s="14">
        <f>Novembre[[#This Row],[CI (h)]]-Novembre[[#This Row],[CR (h)]]</f>
        <v>-6</v>
      </c>
      <c r="J4" s="1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4" s="14">
        <f>Novembre[[#This Row],[CI (h)]]*Novembre[[#This Row],[PRU (€)]]</f>
        <v>340</v>
      </c>
      <c r="L4" s="14">
        <f>Novembre[[#This Row],[CR (h)]]*Novembre[[#This Row],[PRU (€)]]</f>
        <v>748</v>
      </c>
      <c r="M4" s="14">
        <f>Novembre[[#This Row],[PRU (€)]]*Novembre[[#This Row],[TPS Cumul (h)]]</f>
        <v>748</v>
      </c>
      <c r="N4" s="1" t="s">
        <v>43</v>
      </c>
    </row>
    <row r="5" spans="1:14" x14ac:dyDescent="0.2">
      <c r="A5" s="33"/>
      <c r="B5" s="8" t="s">
        <v>48</v>
      </c>
      <c r="C5" t="s">
        <v>19</v>
      </c>
      <c r="D5" s="4">
        <v>1</v>
      </c>
      <c r="E5" s="4"/>
      <c r="F5" s="4">
        <f>Novembre[[#This Row],[TPS Période(h)]]+Octobre[[#This Row],[TPS Cumul (h)]]</f>
        <v>0</v>
      </c>
      <c r="G5" s="4">
        <f>MAX(Novembre[[#This Row],[CI (h)]]-Novembre[[#This Row],[TPS Cumul (h)]], 0)</f>
        <v>1</v>
      </c>
      <c r="H5" s="4">
        <f>Novembre[[#This Row],[TPS Cumul (h)]]+Novembre[[#This Row],[RPS (h)]]</f>
        <v>1</v>
      </c>
      <c r="I5" s="4">
        <f>Novembre[[#This Row],[CI (h)]]-Novembre[[#This Row],[CR (h)]]</f>
        <v>0</v>
      </c>
      <c r="J5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5" s="4">
        <f>Novembre[[#This Row],[CI (h)]]*Novembre[[#This Row],[PRU (€)]]</f>
        <v>68</v>
      </c>
      <c r="L5" s="4">
        <f>Novembre[[#This Row],[CR (h)]]*Novembre[[#This Row],[PRU (€)]]</f>
        <v>68</v>
      </c>
      <c r="M5" s="4">
        <f>Novembre[[#This Row],[PRU (€)]]*Novembre[[#This Row],[TPS Cumul (h)]]</f>
        <v>0</v>
      </c>
      <c r="N5" s="1" t="s">
        <v>43</v>
      </c>
    </row>
    <row r="6" spans="1:14" x14ac:dyDescent="0.2">
      <c r="A6" s="33"/>
      <c r="B6" s="8" t="s">
        <v>49</v>
      </c>
      <c r="C6" t="s">
        <v>19</v>
      </c>
      <c r="D6" s="4">
        <v>2</v>
      </c>
      <c r="E6" s="4"/>
      <c r="F6" s="4">
        <f>Novembre[[#This Row],[TPS Période(h)]]+Octobre[[#This Row],[TPS Cumul (h)]]</f>
        <v>0</v>
      </c>
      <c r="G6" s="4">
        <f>MAX(Novembre[[#This Row],[CI (h)]]-Novembre[[#This Row],[TPS Cumul (h)]], 0)</f>
        <v>2</v>
      </c>
      <c r="H6" s="4">
        <f>Novembre[[#This Row],[TPS Cumul (h)]]+Novembre[[#This Row],[RPS (h)]]</f>
        <v>2</v>
      </c>
      <c r="I6" s="4">
        <f>Novembre[[#This Row],[CI (h)]]-Novembre[[#This Row],[CR (h)]]</f>
        <v>0</v>
      </c>
      <c r="J6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6" s="4">
        <f>Novembre[[#This Row],[CI (h)]]*Novembre[[#This Row],[PRU (€)]]</f>
        <v>136</v>
      </c>
      <c r="L6" s="4">
        <f>Novembre[[#This Row],[CR (h)]]*Novembre[[#This Row],[PRU (€)]]</f>
        <v>136</v>
      </c>
      <c r="M6" s="4">
        <f>Novembre[[#This Row],[PRU (€)]]*Novembre[[#This Row],[TPS Cumul (h)]]</f>
        <v>0</v>
      </c>
      <c r="N6" s="1" t="s">
        <v>43</v>
      </c>
    </row>
    <row r="7" spans="1:14" x14ac:dyDescent="0.2">
      <c r="A7" s="33"/>
      <c r="B7" s="8" t="s">
        <v>50</v>
      </c>
      <c r="C7" t="s">
        <v>19</v>
      </c>
      <c r="D7" s="4">
        <v>2</v>
      </c>
      <c r="E7" s="4"/>
      <c r="F7" s="4">
        <f>Novembre[[#This Row],[TPS Période(h)]]+Octobre[[#This Row],[TPS Cumul (h)]]</f>
        <v>1</v>
      </c>
      <c r="G7" s="4">
        <f>MAX(Novembre[[#This Row],[CI (h)]]-Novembre[[#This Row],[TPS Cumul (h)]], 0)</f>
        <v>1</v>
      </c>
      <c r="H7" s="4">
        <f>Novembre[[#This Row],[TPS Cumul (h)]]+Novembre[[#This Row],[RPS (h)]]</f>
        <v>2</v>
      </c>
      <c r="I7" s="4">
        <f>Novembre[[#This Row],[CI (h)]]-Novembre[[#This Row],[CR (h)]]</f>
        <v>0</v>
      </c>
      <c r="J7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7" s="4">
        <f>Novembre[[#This Row],[CI (h)]]*Novembre[[#This Row],[PRU (€)]]</f>
        <v>136</v>
      </c>
      <c r="L7" s="4">
        <f>Novembre[[#This Row],[CR (h)]]*Novembre[[#This Row],[PRU (€)]]</f>
        <v>136</v>
      </c>
      <c r="M7" s="4">
        <f>Novembre[[#This Row],[PRU (€)]]*Novembre[[#This Row],[TPS Cumul (h)]]</f>
        <v>68</v>
      </c>
      <c r="N7" s="1" t="s">
        <v>43</v>
      </c>
    </row>
    <row r="8" spans="1:14" x14ac:dyDescent="0.2">
      <c r="A8" s="33"/>
      <c r="B8" s="8" t="s">
        <v>51</v>
      </c>
      <c r="C8" t="s">
        <v>19</v>
      </c>
      <c r="D8" s="4">
        <v>2</v>
      </c>
      <c r="E8" s="4"/>
      <c r="F8" s="4">
        <f>Novembre[[#This Row],[TPS Période(h)]]+Octobre[[#This Row],[TPS Cumul (h)]]</f>
        <v>1</v>
      </c>
      <c r="G8" s="4">
        <f>MAX(Novembre[[#This Row],[CI (h)]]-Novembre[[#This Row],[TPS Cumul (h)]], 0)</f>
        <v>1</v>
      </c>
      <c r="H8" s="4">
        <f>Novembre[[#This Row],[TPS Cumul (h)]]+Novembre[[#This Row],[RPS (h)]]</f>
        <v>2</v>
      </c>
      <c r="I8" s="4">
        <f>Novembre[[#This Row],[CI (h)]]-Novembre[[#This Row],[CR (h)]]</f>
        <v>0</v>
      </c>
      <c r="J8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8" s="4">
        <f>Novembre[[#This Row],[CI (h)]]*Novembre[[#This Row],[PRU (€)]]</f>
        <v>136</v>
      </c>
      <c r="L8" s="4">
        <f>Novembre[[#This Row],[CR (h)]]*Novembre[[#This Row],[PRU (€)]]</f>
        <v>136</v>
      </c>
      <c r="M8" s="4">
        <f>Novembre[[#This Row],[PRU (€)]]*Novembre[[#This Row],[TPS Cumul (h)]]</f>
        <v>68</v>
      </c>
      <c r="N8" s="1" t="s">
        <v>43</v>
      </c>
    </row>
    <row r="9" spans="1:14" x14ac:dyDescent="0.2">
      <c r="A9" s="33"/>
      <c r="B9" s="8" t="s">
        <v>52</v>
      </c>
      <c r="C9" t="s">
        <v>19</v>
      </c>
      <c r="D9" s="4">
        <v>2</v>
      </c>
      <c r="E9" s="4"/>
      <c r="F9" s="4">
        <f>Novembre[[#This Row],[TPS Période(h)]]+Octobre[[#This Row],[TPS Cumul (h)]]</f>
        <v>0</v>
      </c>
      <c r="G9" s="4">
        <f>MAX(Novembre[[#This Row],[CI (h)]]-Novembre[[#This Row],[TPS Cumul (h)]], 0)</f>
        <v>2</v>
      </c>
      <c r="H9" s="4">
        <f>Novembre[[#This Row],[TPS Cumul (h)]]+Novembre[[#This Row],[RPS (h)]]</f>
        <v>2</v>
      </c>
      <c r="I9" s="4">
        <f>Novembre[[#This Row],[CI (h)]]-Novembre[[#This Row],[CR (h)]]</f>
        <v>0</v>
      </c>
      <c r="J9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9" s="4">
        <f>Novembre[[#This Row],[CI (h)]]*Novembre[[#This Row],[PRU (€)]]</f>
        <v>136</v>
      </c>
      <c r="L9" s="4">
        <f>Novembre[[#This Row],[CR (h)]]*Novembre[[#This Row],[PRU (€)]]</f>
        <v>136</v>
      </c>
      <c r="M9" s="4">
        <f>Novembre[[#This Row],[PRU (€)]]*Novembre[[#This Row],[TPS Cumul (h)]]</f>
        <v>0</v>
      </c>
      <c r="N9" s="1" t="s">
        <v>43</v>
      </c>
    </row>
    <row r="10" spans="1:14" x14ac:dyDescent="0.2">
      <c r="A10" s="29" t="s">
        <v>29</v>
      </c>
      <c r="B10" s="3" t="s">
        <v>53</v>
      </c>
      <c r="C10" t="s">
        <v>19</v>
      </c>
      <c r="D10" s="4">
        <v>4</v>
      </c>
      <c r="E10" s="4"/>
      <c r="F10" s="4">
        <f>Novembre[[#This Row],[TPS Période(h)]]+Octobre[[#This Row],[TPS Cumul (h)]]</f>
        <v>3</v>
      </c>
      <c r="G10" s="4">
        <f>MAX(Novembre[[#This Row],[CI (h)]]-Novembre[[#This Row],[TPS Cumul (h)]], 0)</f>
        <v>1</v>
      </c>
      <c r="H10" s="4">
        <f>Novembre[[#This Row],[TPS Cumul (h)]]+Novembre[[#This Row],[RPS (h)]]</f>
        <v>4</v>
      </c>
      <c r="I10" s="4">
        <f>Novembre[[#This Row],[CI (h)]]-Novembre[[#This Row],[CR (h)]]</f>
        <v>0</v>
      </c>
      <c r="J10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0" s="4">
        <f>Novembre[[#This Row],[CI (h)]]*Novembre[[#This Row],[PRU (€)]]</f>
        <v>272</v>
      </c>
      <c r="L10" s="4">
        <f>Novembre[[#This Row],[CR (h)]]*Novembre[[#This Row],[PRU (€)]]</f>
        <v>272</v>
      </c>
      <c r="M10" s="4">
        <f>Novembre[[#This Row],[PRU (€)]]*Novembre[[#This Row],[TPS Cumul (h)]]</f>
        <v>204</v>
      </c>
      <c r="N10" s="1" t="s">
        <v>43</v>
      </c>
    </row>
    <row r="11" spans="1:14" x14ac:dyDescent="0.2">
      <c r="A11" s="30"/>
      <c r="B11" s="3" t="s">
        <v>54</v>
      </c>
      <c r="C11" t="s">
        <v>19</v>
      </c>
      <c r="D11" s="4">
        <v>4</v>
      </c>
      <c r="E11" s="4"/>
      <c r="F11" s="4">
        <f>Novembre[[#This Row],[TPS Période(h)]]+Octobre[[#This Row],[TPS Cumul (h)]]</f>
        <v>0</v>
      </c>
      <c r="G11" s="4">
        <f>MAX(Novembre[[#This Row],[CI (h)]]-Novembre[[#This Row],[TPS Cumul (h)]], 0)</f>
        <v>4</v>
      </c>
      <c r="H11" s="4">
        <f>Novembre[[#This Row],[TPS Cumul (h)]]+Novembre[[#This Row],[RPS (h)]]</f>
        <v>4</v>
      </c>
      <c r="I11" s="4">
        <f>Novembre[[#This Row],[CI (h)]]-Novembre[[#This Row],[CR (h)]]</f>
        <v>0</v>
      </c>
      <c r="J11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1" s="4">
        <f>Novembre[[#This Row],[CI (h)]]*Novembre[[#This Row],[PRU (€)]]</f>
        <v>272</v>
      </c>
      <c r="L11" s="4">
        <f>Novembre[[#This Row],[CR (h)]]*Novembre[[#This Row],[PRU (€)]]</f>
        <v>272</v>
      </c>
      <c r="M11" s="4">
        <f>Novembre[[#This Row],[PRU (€)]]*Novembre[[#This Row],[TPS Cumul (h)]]</f>
        <v>0</v>
      </c>
      <c r="N11" s="1" t="s">
        <v>43</v>
      </c>
    </row>
    <row r="12" spans="1:14" x14ac:dyDescent="0.2">
      <c r="A12" s="30"/>
      <c r="B12" s="3" t="s">
        <v>55</v>
      </c>
      <c r="C12" t="s">
        <v>19</v>
      </c>
      <c r="D12" s="4">
        <v>1</v>
      </c>
      <c r="E12" s="4"/>
      <c r="F12" s="4">
        <f>Novembre[[#This Row],[TPS Période(h)]]+Octobre[[#This Row],[TPS Cumul (h)]]</f>
        <v>3</v>
      </c>
      <c r="G12" s="4">
        <f>MAX(Novembre[[#This Row],[CI (h)]]-Novembre[[#This Row],[TPS Cumul (h)]], 0)</f>
        <v>0</v>
      </c>
      <c r="H12" s="4">
        <f>Novembre[[#This Row],[TPS Cumul (h)]]+Novembre[[#This Row],[RPS (h)]]</f>
        <v>3</v>
      </c>
      <c r="I12" s="4">
        <f>Novembre[[#This Row],[CI (h)]]-Novembre[[#This Row],[CR (h)]]</f>
        <v>-2</v>
      </c>
      <c r="J12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2" s="4">
        <f>Novembre[[#This Row],[CI (h)]]*Novembre[[#This Row],[PRU (€)]]</f>
        <v>68</v>
      </c>
      <c r="L12" s="4">
        <f>Novembre[[#This Row],[CR (h)]]*Novembre[[#This Row],[PRU (€)]]</f>
        <v>204</v>
      </c>
      <c r="M12" s="4">
        <f>Novembre[[#This Row],[PRU (€)]]*Novembre[[#This Row],[TPS Cumul (h)]]</f>
        <v>204</v>
      </c>
      <c r="N12" s="1" t="s">
        <v>43</v>
      </c>
    </row>
    <row r="13" spans="1:14" x14ac:dyDescent="0.2">
      <c r="A13" s="30"/>
      <c r="B13" s="3" t="s">
        <v>56</v>
      </c>
      <c r="C13" t="s">
        <v>19</v>
      </c>
      <c r="D13" s="4">
        <v>2</v>
      </c>
      <c r="E13" s="4"/>
      <c r="F13" s="4">
        <f>Novembre[[#This Row],[TPS Période(h)]]+Octobre[[#This Row],[TPS Cumul (h)]]</f>
        <v>1</v>
      </c>
      <c r="G13" s="4">
        <f>MAX(Novembre[[#This Row],[CI (h)]]-Novembre[[#This Row],[TPS Cumul (h)]], 0)</f>
        <v>1</v>
      </c>
      <c r="H13" s="4">
        <f>Novembre[[#This Row],[TPS Cumul (h)]]+Novembre[[#This Row],[RPS (h)]]</f>
        <v>2</v>
      </c>
      <c r="I13" s="4">
        <f>Novembre[[#This Row],[CI (h)]]-Novembre[[#This Row],[CR (h)]]</f>
        <v>0</v>
      </c>
      <c r="J13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3" s="4">
        <f>Novembre[[#This Row],[CI (h)]]*Novembre[[#This Row],[PRU (€)]]</f>
        <v>136</v>
      </c>
      <c r="L13" s="4">
        <f>Novembre[[#This Row],[CR (h)]]*Novembre[[#This Row],[PRU (€)]]</f>
        <v>136</v>
      </c>
      <c r="M13" s="4">
        <f>Novembre[[#This Row],[PRU (€)]]*Novembre[[#This Row],[TPS Cumul (h)]]</f>
        <v>68</v>
      </c>
      <c r="N13" s="1" t="s">
        <v>43</v>
      </c>
    </row>
    <row r="14" spans="1:14" x14ac:dyDescent="0.2">
      <c r="A14" s="26" t="s">
        <v>30</v>
      </c>
      <c r="B14" s="3" t="s">
        <v>57</v>
      </c>
      <c r="C14" t="s">
        <v>19</v>
      </c>
      <c r="D14" s="4">
        <v>7</v>
      </c>
      <c r="E14" s="4"/>
      <c r="F14" s="4">
        <f>Novembre[[#This Row],[TPS Période(h)]]+Octobre[[#This Row],[TPS Cumul (h)]]</f>
        <v>0</v>
      </c>
      <c r="G14" s="4">
        <f>MAX(Novembre[[#This Row],[CI (h)]]-Novembre[[#This Row],[TPS Cumul (h)]], 0)</f>
        <v>7</v>
      </c>
      <c r="H14" s="4">
        <f>Novembre[[#This Row],[TPS Cumul (h)]]+Novembre[[#This Row],[RPS (h)]]</f>
        <v>7</v>
      </c>
      <c r="I14" s="4">
        <f>Novembre[[#This Row],[CI (h)]]-Novembre[[#This Row],[CR (h)]]</f>
        <v>0</v>
      </c>
      <c r="J14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4" s="4">
        <f>Novembre[[#This Row],[CI (h)]]*Novembre[[#This Row],[PRU (€)]]</f>
        <v>476</v>
      </c>
      <c r="L14" s="4">
        <f>Novembre[[#This Row],[CR (h)]]*Novembre[[#This Row],[PRU (€)]]</f>
        <v>476</v>
      </c>
      <c r="M14" s="4">
        <f>Novembre[[#This Row],[PRU (€)]]*Novembre[[#This Row],[TPS Cumul (h)]]</f>
        <v>0</v>
      </c>
      <c r="N14" s="1" t="s">
        <v>43</v>
      </c>
    </row>
    <row r="15" spans="1:14" x14ac:dyDescent="0.2">
      <c r="A15" s="26"/>
      <c r="B15" s="3" t="s">
        <v>58</v>
      </c>
      <c r="C15" t="s">
        <v>19</v>
      </c>
      <c r="D15" s="4">
        <v>7</v>
      </c>
      <c r="E15" s="4"/>
      <c r="F15" s="4">
        <f>Novembre[[#This Row],[TPS Période(h)]]+Octobre[[#This Row],[TPS Cumul (h)]]</f>
        <v>2</v>
      </c>
      <c r="G15" s="4">
        <f>MAX(Novembre[[#This Row],[CI (h)]]-Novembre[[#This Row],[TPS Cumul (h)]], 0)</f>
        <v>5</v>
      </c>
      <c r="H15" s="4">
        <f>Novembre[[#This Row],[TPS Cumul (h)]]+Novembre[[#This Row],[RPS (h)]]</f>
        <v>7</v>
      </c>
      <c r="I15" s="4">
        <f>Novembre[[#This Row],[CI (h)]]-Novembre[[#This Row],[CR (h)]]</f>
        <v>0</v>
      </c>
      <c r="J15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5" s="4">
        <f>Novembre[[#This Row],[CI (h)]]*Novembre[[#This Row],[PRU (€)]]</f>
        <v>476</v>
      </c>
      <c r="L15" s="4">
        <f>Novembre[[#This Row],[CR (h)]]*Novembre[[#This Row],[PRU (€)]]</f>
        <v>476</v>
      </c>
      <c r="M15" s="4">
        <f>Novembre[[#This Row],[PRU (€)]]*Novembre[[#This Row],[TPS Cumul (h)]]</f>
        <v>136</v>
      </c>
      <c r="N15" s="1" t="s">
        <v>43</v>
      </c>
    </row>
    <row r="16" spans="1:14" x14ac:dyDescent="0.2">
      <c r="A16" s="26"/>
      <c r="B16" s="3" t="s">
        <v>59</v>
      </c>
      <c r="C16" t="s">
        <v>19</v>
      </c>
      <c r="D16" s="19">
        <v>4</v>
      </c>
      <c r="E16" s="19"/>
      <c r="F16" s="19">
        <f>Novembre[[#This Row],[TPS Période(h)]]+Octobre[[#This Row],[TPS Cumul (h)]]</f>
        <v>0</v>
      </c>
      <c r="G16" s="19">
        <f>MAX(Novembre[[#This Row],[CI (h)]]-Novembre[[#This Row],[TPS Cumul (h)]], 0)</f>
        <v>4</v>
      </c>
      <c r="H16" s="19">
        <f>Novembre[[#This Row],[TPS Cumul (h)]]+Novembre[[#This Row],[RPS (h)]]</f>
        <v>4</v>
      </c>
      <c r="I16" s="19">
        <f>Novembre[[#This Row],[CI (h)]]-Novembre[[#This Row],[CR (h)]]</f>
        <v>0</v>
      </c>
      <c r="J16" s="19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6" s="4">
        <f>Novembre[[#This Row],[CI (h)]]*Novembre[[#This Row],[PRU (€)]]</f>
        <v>272</v>
      </c>
      <c r="L16" s="19">
        <f>Novembre[[#This Row],[CR (h)]]*Novembre[[#This Row],[PRU (€)]]</f>
        <v>272</v>
      </c>
      <c r="M16" s="19">
        <f>Novembre[[#This Row],[PRU (€)]]*Novembre[[#This Row],[TPS Cumul (h)]]</f>
        <v>0</v>
      </c>
      <c r="N16" s="20" t="s">
        <v>43</v>
      </c>
    </row>
    <row r="17" spans="1:14" x14ac:dyDescent="0.2">
      <c r="A17" s="26"/>
      <c r="B17" s="3" t="s">
        <v>60</v>
      </c>
      <c r="C17" t="s">
        <v>19</v>
      </c>
      <c r="D17" s="4">
        <v>3</v>
      </c>
      <c r="E17" s="4"/>
      <c r="F17" s="4">
        <f>Novembre[[#This Row],[TPS Période(h)]]+Octobre[[#This Row],[TPS Cumul (h)]]</f>
        <v>2</v>
      </c>
      <c r="G17" s="4">
        <f>MAX(Novembre[[#This Row],[CI (h)]]-Novembre[[#This Row],[TPS Cumul (h)]], 0)</f>
        <v>1</v>
      </c>
      <c r="H17" s="4">
        <f>Novembre[[#This Row],[TPS Cumul (h)]]+Novembre[[#This Row],[RPS (h)]]</f>
        <v>3</v>
      </c>
      <c r="I17" s="4">
        <f>Novembre[[#This Row],[CI (h)]]-Novembre[[#This Row],[CR (h)]]</f>
        <v>0</v>
      </c>
      <c r="J17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7" s="4">
        <f>Novembre[[#This Row],[CI (h)]]*Novembre[[#This Row],[PRU (€)]]</f>
        <v>204</v>
      </c>
      <c r="L17" s="4">
        <f>Novembre[[#This Row],[CR (h)]]*Novembre[[#This Row],[PRU (€)]]</f>
        <v>204</v>
      </c>
      <c r="M17" s="4">
        <f>Novembre[[#This Row],[PRU (€)]]*Novembre[[#This Row],[TPS Cumul (h)]]</f>
        <v>136</v>
      </c>
      <c r="N17" s="1" t="s">
        <v>43</v>
      </c>
    </row>
    <row r="18" spans="1:14" x14ac:dyDescent="0.2">
      <c r="A18" s="35" t="s">
        <v>31</v>
      </c>
      <c r="B18" s="3" t="s">
        <v>61</v>
      </c>
      <c r="C18" t="s">
        <v>19</v>
      </c>
      <c r="D18" s="4">
        <v>10</v>
      </c>
      <c r="E18" s="4"/>
      <c r="F18" s="4">
        <f>Novembre[[#This Row],[TPS Période(h)]]+Octobre[[#This Row],[TPS Cumul (h)]]</f>
        <v>0</v>
      </c>
      <c r="G18" s="4">
        <f>MAX(Novembre[[#This Row],[CI (h)]]-Novembre[[#This Row],[TPS Cumul (h)]], 0)</f>
        <v>10</v>
      </c>
      <c r="H18" s="4">
        <f>Novembre[[#This Row],[TPS Cumul (h)]]+Novembre[[#This Row],[RPS (h)]]</f>
        <v>10</v>
      </c>
      <c r="I18" s="4">
        <f>Novembre[[#This Row],[CI (h)]]-Novembre[[#This Row],[CR (h)]]</f>
        <v>0</v>
      </c>
      <c r="J18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8" s="4">
        <f>Novembre[[#This Row],[CI (h)]]*Novembre[[#This Row],[PRU (€)]]</f>
        <v>680</v>
      </c>
      <c r="L18" s="4">
        <f>Novembre[[#This Row],[CR (h)]]*Novembre[[#This Row],[PRU (€)]]</f>
        <v>680</v>
      </c>
      <c r="M18" s="4">
        <f>Novembre[[#This Row],[PRU (€)]]*Novembre[[#This Row],[TPS Cumul (h)]]</f>
        <v>0</v>
      </c>
      <c r="N18" s="1" t="s">
        <v>43</v>
      </c>
    </row>
    <row r="19" spans="1:14" x14ac:dyDescent="0.2">
      <c r="A19" s="36"/>
      <c r="B19" s="3" t="s">
        <v>62</v>
      </c>
      <c r="C19" t="s">
        <v>19</v>
      </c>
      <c r="D19" s="4">
        <v>10</v>
      </c>
      <c r="E19" s="4"/>
      <c r="F19" s="4">
        <f>Novembre[[#This Row],[TPS Période(h)]]+Octobre[[#This Row],[TPS Cumul (h)]]</f>
        <v>0</v>
      </c>
      <c r="G19" s="4">
        <f>MAX(Novembre[[#This Row],[CI (h)]]-Novembre[[#This Row],[TPS Cumul (h)]], 0)</f>
        <v>10</v>
      </c>
      <c r="H19" s="4">
        <f>Novembre[[#This Row],[TPS Cumul (h)]]+Novembre[[#This Row],[RPS (h)]]</f>
        <v>10</v>
      </c>
      <c r="I19" s="4">
        <f>Novembre[[#This Row],[CI (h)]]-Novembre[[#This Row],[CR (h)]]</f>
        <v>0</v>
      </c>
      <c r="J19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19" s="4">
        <f>Novembre[[#This Row],[CI (h)]]*Novembre[[#This Row],[PRU (€)]]</f>
        <v>680</v>
      </c>
      <c r="L19" s="4">
        <f>Novembre[[#This Row],[CR (h)]]*Novembre[[#This Row],[PRU (€)]]</f>
        <v>680</v>
      </c>
      <c r="M19" s="4">
        <f>Novembre[[#This Row],[PRU (€)]]*Novembre[[#This Row],[TPS Cumul (h)]]</f>
        <v>0</v>
      </c>
      <c r="N19" s="1" t="s">
        <v>43</v>
      </c>
    </row>
    <row r="20" spans="1:14" x14ac:dyDescent="0.2">
      <c r="A20" s="36"/>
      <c r="B20" s="3" t="s">
        <v>63</v>
      </c>
      <c r="C20" t="s">
        <v>19</v>
      </c>
      <c r="D20" s="4">
        <v>5</v>
      </c>
      <c r="E20" s="4"/>
      <c r="F20" s="4">
        <f>Novembre[[#This Row],[TPS Période(h)]]+Octobre[[#This Row],[TPS Cumul (h)]]</f>
        <v>0</v>
      </c>
      <c r="G20" s="4">
        <f>MAX(Novembre[[#This Row],[CI (h)]]-Novembre[[#This Row],[TPS Cumul (h)]], 0)</f>
        <v>5</v>
      </c>
      <c r="H20" s="4">
        <f>Novembre[[#This Row],[TPS Cumul (h)]]+Novembre[[#This Row],[RPS (h)]]</f>
        <v>5</v>
      </c>
      <c r="I20" s="4">
        <f>Novembre[[#This Row],[CI (h)]]-Novembre[[#This Row],[CR (h)]]</f>
        <v>0</v>
      </c>
      <c r="J20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0" s="4">
        <f>Novembre[[#This Row],[CI (h)]]*Novembre[[#This Row],[PRU (€)]]</f>
        <v>340</v>
      </c>
      <c r="L20" s="4">
        <f>Novembre[[#This Row],[CR (h)]]*Novembre[[#This Row],[PRU (€)]]</f>
        <v>340</v>
      </c>
      <c r="M20" s="4">
        <f>Novembre[[#This Row],[PRU (€)]]*Novembre[[#This Row],[TPS Cumul (h)]]</f>
        <v>0</v>
      </c>
      <c r="N20" s="1" t="s">
        <v>43</v>
      </c>
    </row>
    <row r="21" spans="1:14" x14ac:dyDescent="0.2">
      <c r="A21" s="36"/>
      <c r="B21" s="3" t="s">
        <v>64</v>
      </c>
      <c r="C21" t="s">
        <v>19</v>
      </c>
      <c r="D21" s="4">
        <v>3</v>
      </c>
      <c r="E21" s="4"/>
      <c r="F21" s="4">
        <f>Novembre[[#This Row],[TPS Période(h)]]+Octobre[[#This Row],[TPS Cumul (h)]]</f>
        <v>0</v>
      </c>
      <c r="G21" s="4">
        <f>MAX(Novembre[[#This Row],[CI (h)]]-Novembre[[#This Row],[TPS Cumul (h)]], 0)</f>
        <v>3</v>
      </c>
      <c r="H21" s="4">
        <f>Novembre[[#This Row],[TPS Cumul (h)]]+Novembre[[#This Row],[RPS (h)]]</f>
        <v>3</v>
      </c>
      <c r="I21" s="4">
        <f>Novembre[[#This Row],[CI (h)]]-Novembre[[#This Row],[CR (h)]]</f>
        <v>0</v>
      </c>
      <c r="J21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1" s="4">
        <f>Novembre[[#This Row],[CI (h)]]*Novembre[[#This Row],[PRU (€)]]</f>
        <v>204</v>
      </c>
      <c r="L21" s="4">
        <f>Novembre[[#This Row],[CR (h)]]*Novembre[[#This Row],[PRU (€)]]</f>
        <v>204</v>
      </c>
      <c r="M21" s="4">
        <f>Novembre[[#This Row],[PRU (€)]]*Novembre[[#This Row],[TPS Cumul (h)]]</f>
        <v>0</v>
      </c>
      <c r="N21" s="1" t="s">
        <v>43</v>
      </c>
    </row>
    <row r="22" spans="1:14" x14ac:dyDescent="0.2">
      <c r="A22" s="36"/>
      <c r="B22" s="3" t="s">
        <v>72</v>
      </c>
      <c r="C22" t="s">
        <v>19</v>
      </c>
      <c r="D22" s="4">
        <v>7</v>
      </c>
      <c r="E22" s="4"/>
      <c r="F22" s="4">
        <f>Novembre[[#This Row],[TPS Période(h)]]+Octobre[[#This Row],[TPS Cumul (h)]]</f>
        <v>0</v>
      </c>
      <c r="G22" s="4">
        <f>MAX(Novembre[[#This Row],[CI (h)]]-Novembre[[#This Row],[TPS Cumul (h)]], 0)</f>
        <v>7</v>
      </c>
      <c r="H22" s="4">
        <f>Novembre[[#This Row],[TPS Cumul (h)]]+Novembre[[#This Row],[RPS (h)]]</f>
        <v>7</v>
      </c>
      <c r="I22" s="4">
        <f>Novembre[[#This Row],[CI (h)]]-Novembre[[#This Row],[CR (h)]]</f>
        <v>0</v>
      </c>
      <c r="J22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2" s="4">
        <f>Novembre[[#This Row],[CI (h)]]*Novembre[[#This Row],[PRU (€)]]</f>
        <v>476</v>
      </c>
      <c r="L22" s="4">
        <f>Novembre[[#This Row],[CR (h)]]*Novembre[[#This Row],[PRU (€)]]</f>
        <v>476</v>
      </c>
      <c r="M22" s="4">
        <f>Novembre[[#This Row],[PRU (€)]]*Novembre[[#This Row],[TPS Cumul (h)]]</f>
        <v>0</v>
      </c>
      <c r="N22" s="1" t="s">
        <v>43</v>
      </c>
    </row>
    <row r="23" spans="1:14" x14ac:dyDescent="0.2">
      <c r="A23" s="25" t="s">
        <v>32</v>
      </c>
      <c r="B23" s="3" t="s">
        <v>65</v>
      </c>
      <c r="C23" t="s">
        <v>19</v>
      </c>
      <c r="D23" s="4">
        <v>7</v>
      </c>
      <c r="E23" s="4"/>
      <c r="F23" s="4">
        <f>Novembre[[#This Row],[TPS Période(h)]]+Octobre[[#This Row],[TPS Cumul (h)]]</f>
        <v>0</v>
      </c>
      <c r="G23" s="4">
        <f>MAX(Novembre[[#This Row],[CI (h)]]-Novembre[[#This Row],[TPS Cumul (h)]], 0)</f>
        <v>7</v>
      </c>
      <c r="H23" s="4">
        <f>Novembre[[#This Row],[TPS Cumul (h)]]+Novembre[[#This Row],[RPS (h)]]</f>
        <v>7</v>
      </c>
      <c r="I23" s="4">
        <f>Novembre[[#This Row],[CI (h)]]-Novembre[[#This Row],[CR (h)]]</f>
        <v>0</v>
      </c>
      <c r="J23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3" s="4">
        <f>Novembre[[#This Row],[CI (h)]]*Novembre[[#This Row],[PRU (€)]]</f>
        <v>476</v>
      </c>
      <c r="L23" s="4">
        <f>Novembre[[#This Row],[CR (h)]]*Novembre[[#This Row],[PRU (€)]]</f>
        <v>476</v>
      </c>
      <c r="M23" s="4">
        <f>Novembre[[#This Row],[PRU (€)]]*Novembre[[#This Row],[TPS Cumul (h)]]</f>
        <v>0</v>
      </c>
      <c r="N23" s="1" t="s">
        <v>43</v>
      </c>
    </row>
    <row r="24" spans="1:14" x14ac:dyDescent="0.2">
      <c r="A24" s="25"/>
      <c r="B24" s="3" t="s">
        <v>66</v>
      </c>
      <c r="C24" t="s">
        <v>19</v>
      </c>
      <c r="D24" s="4">
        <v>2</v>
      </c>
      <c r="E24" s="4"/>
      <c r="F24" s="4">
        <f>Novembre[[#This Row],[TPS Période(h)]]+Octobre[[#This Row],[TPS Cumul (h)]]</f>
        <v>0</v>
      </c>
      <c r="G24" s="4">
        <f>MAX(Novembre[[#This Row],[CI (h)]]-Novembre[[#This Row],[TPS Cumul (h)]], 0)</f>
        <v>2</v>
      </c>
      <c r="H24" s="4">
        <f>Novembre[[#This Row],[TPS Cumul (h)]]+Novembre[[#This Row],[RPS (h)]]</f>
        <v>2</v>
      </c>
      <c r="I24" s="4">
        <f>Novembre[[#This Row],[CI (h)]]-Novembre[[#This Row],[CR (h)]]</f>
        <v>0</v>
      </c>
      <c r="J24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4" s="4">
        <f>Novembre[[#This Row],[CI (h)]]*Novembre[[#This Row],[PRU (€)]]</f>
        <v>136</v>
      </c>
      <c r="L24" s="4">
        <f>Novembre[[#This Row],[CR (h)]]*Novembre[[#This Row],[PRU (€)]]</f>
        <v>136</v>
      </c>
      <c r="M24" s="4">
        <f>Novembre[[#This Row],[PRU (€)]]*Novembre[[#This Row],[TPS Cumul (h)]]</f>
        <v>0</v>
      </c>
      <c r="N24" s="1" t="s">
        <v>43</v>
      </c>
    </row>
    <row r="25" spans="1:14" x14ac:dyDescent="0.2">
      <c r="A25" s="37" t="s">
        <v>33</v>
      </c>
      <c r="B25" s="3" t="s">
        <v>67</v>
      </c>
      <c r="C25" t="s">
        <v>19</v>
      </c>
      <c r="D25" s="4">
        <v>2</v>
      </c>
      <c r="E25" s="4"/>
      <c r="F25" s="4">
        <f>Novembre[[#This Row],[TPS Période(h)]]+Octobre[[#This Row],[TPS Cumul (h)]]</f>
        <v>0</v>
      </c>
      <c r="G25" s="4">
        <f>MAX(Novembre[[#This Row],[CI (h)]]-Novembre[[#This Row],[TPS Cumul (h)]], 0)</f>
        <v>2</v>
      </c>
      <c r="H25" s="4">
        <f>Novembre[[#This Row],[TPS Cumul (h)]]+Novembre[[#This Row],[RPS (h)]]</f>
        <v>2</v>
      </c>
      <c r="I25" s="4">
        <f>Novembre[[#This Row],[CI (h)]]-Novembre[[#This Row],[CR (h)]]</f>
        <v>0</v>
      </c>
      <c r="J25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5" s="4">
        <f>Novembre[[#This Row],[CI (h)]]*Novembre[[#This Row],[PRU (€)]]</f>
        <v>136</v>
      </c>
      <c r="L25" s="4">
        <f>Novembre[[#This Row],[CR (h)]]*Novembre[[#This Row],[PRU (€)]]</f>
        <v>136</v>
      </c>
      <c r="M25" s="4">
        <f>Novembre[[#This Row],[PRU (€)]]*Novembre[[#This Row],[TPS Cumul (h)]]</f>
        <v>0</v>
      </c>
      <c r="N25" s="1" t="s">
        <v>43</v>
      </c>
    </row>
    <row r="26" spans="1:14" x14ac:dyDescent="0.2">
      <c r="A26" s="38"/>
      <c r="B26" s="3" t="s">
        <v>68</v>
      </c>
      <c r="C26" t="s">
        <v>19</v>
      </c>
      <c r="D26" s="4">
        <v>2</v>
      </c>
      <c r="E26" s="4"/>
      <c r="F26" s="4">
        <f>Novembre[[#This Row],[TPS Période(h)]]+Octobre[[#This Row],[TPS Cumul (h)]]</f>
        <v>0</v>
      </c>
      <c r="G26" s="4">
        <f>MAX(Novembre[[#This Row],[CI (h)]]-Novembre[[#This Row],[TPS Cumul (h)]], 0)</f>
        <v>2</v>
      </c>
      <c r="H26" s="4">
        <f>Novembre[[#This Row],[TPS Cumul (h)]]+Novembre[[#This Row],[RPS (h)]]</f>
        <v>2</v>
      </c>
      <c r="I26" s="4">
        <f>Novembre[[#This Row],[CI (h)]]-Novembre[[#This Row],[CR (h)]]</f>
        <v>0</v>
      </c>
      <c r="J26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6" s="4">
        <f>Novembre[[#This Row],[CI (h)]]*Novembre[[#This Row],[PRU (€)]]</f>
        <v>136</v>
      </c>
      <c r="L26" s="4">
        <f>Novembre[[#This Row],[CR (h)]]*Novembre[[#This Row],[PRU (€)]]</f>
        <v>136</v>
      </c>
      <c r="M26" s="4">
        <f>Novembre[[#This Row],[PRU (€)]]*Novembre[[#This Row],[TPS Cumul (h)]]</f>
        <v>0</v>
      </c>
      <c r="N26" s="1" t="s">
        <v>43</v>
      </c>
    </row>
    <row r="27" spans="1:14" x14ac:dyDescent="0.2">
      <c r="A27" s="22" t="s">
        <v>34</v>
      </c>
      <c r="B27" s="8" t="s">
        <v>69</v>
      </c>
      <c r="C27" t="s">
        <v>19</v>
      </c>
      <c r="D27" s="4">
        <v>10</v>
      </c>
      <c r="E27" s="4"/>
      <c r="F27" s="4">
        <f>Novembre[[#This Row],[TPS Période(h)]]+Octobre[[#This Row],[TPS Cumul (h)]]</f>
        <v>0</v>
      </c>
      <c r="G27" s="4">
        <f>MAX(Novembre[[#This Row],[CI (h)]]-Novembre[[#This Row],[TPS Cumul (h)]], 0)</f>
        <v>10</v>
      </c>
      <c r="H27" s="4">
        <f>Novembre[[#This Row],[TPS Cumul (h)]]+Novembre[[#This Row],[RPS (h)]]</f>
        <v>10</v>
      </c>
      <c r="I27" s="4">
        <f>Novembre[[#This Row],[CI (h)]]-Novembre[[#This Row],[CR (h)]]</f>
        <v>0</v>
      </c>
      <c r="J27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7" s="4">
        <f>Novembre[[#This Row],[CI (h)]]*Novembre[[#This Row],[PRU (€)]]</f>
        <v>680</v>
      </c>
      <c r="L27" s="4">
        <f>Novembre[[#This Row],[CR (h)]]*Novembre[[#This Row],[PRU (€)]]</f>
        <v>680</v>
      </c>
      <c r="M27" s="4">
        <f>Novembre[[#This Row],[PRU (€)]]*Novembre[[#This Row],[TPS Cumul (h)]]</f>
        <v>0</v>
      </c>
      <c r="N27" s="1" t="s">
        <v>43</v>
      </c>
    </row>
    <row r="28" spans="1:14" x14ac:dyDescent="0.2">
      <c r="A28" s="22"/>
      <c r="B28" s="8" t="s">
        <v>71</v>
      </c>
      <c r="C28" t="s">
        <v>19</v>
      </c>
      <c r="D28" s="4">
        <v>2</v>
      </c>
      <c r="E28" s="4"/>
      <c r="F28" s="4">
        <f>Novembre[[#This Row],[TPS Période(h)]]+Octobre[[#This Row],[TPS Cumul (h)]]</f>
        <v>0</v>
      </c>
      <c r="G28" s="4">
        <f>MAX(Novembre[[#This Row],[CI (h)]]-Novembre[[#This Row],[TPS Cumul (h)]], 0)</f>
        <v>2</v>
      </c>
      <c r="H28" s="4">
        <f>Novembre[[#This Row],[TPS Cumul (h)]]+Novembre[[#This Row],[RPS (h)]]</f>
        <v>2</v>
      </c>
      <c r="I28" s="4">
        <f>Novembre[[#This Row],[CI (h)]]-Novembre[[#This Row],[CR (h)]]</f>
        <v>0</v>
      </c>
      <c r="J28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8" s="4">
        <f>Novembre[[#This Row],[CI (h)]]*Novembre[[#This Row],[PRU (€)]]</f>
        <v>136</v>
      </c>
      <c r="L28" s="4">
        <f>Novembre[[#This Row],[CR (h)]]*Novembre[[#This Row],[PRU (€)]]</f>
        <v>136</v>
      </c>
      <c r="M28" s="4">
        <f>Novembre[[#This Row],[PRU (€)]]*Novembre[[#This Row],[TPS Cumul (h)]]</f>
        <v>0</v>
      </c>
      <c r="N28" s="1" t="s">
        <v>43</v>
      </c>
    </row>
    <row r="29" spans="1:14" x14ac:dyDescent="0.2">
      <c r="A29" s="32" t="s">
        <v>35</v>
      </c>
      <c r="B29" s="3" t="s">
        <v>70</v>
      </c>
      <c r="C29" t="s">
        <v>19</v>
      </c>
      <c r="D29" s="4">
        <v>3</v>
      </c>
      <c r="E29" s="4"/>
      <c r="F29" s="4">
        <f>Novembre[[#This Row],[TPS Période(h)]]+Octobre[[#This Row],[TPS Cumul (h)]]</f>
        <v>0</v>
      </c>
      <c r="G29" s="4">
        <f>MAX(Novembre[[#This Row],[CI (h)]]-Novembre[[#This Row],[TPS Cumul (h)]], 0)</f>
        <v>3</v>
      </c>
      <c r="H29" s="4">
        <f>Novembre[[#This Row],[TPS Cumul (h)]]+Novembre[[#This Row],[RPS (h)]]</f>
        <v>3</v>
      </c>
      <c r="I29" s="4">
        <f>Novembre[[#This Row],[CI (h)]]-Novembre[[#This Row],[CR (h)]]</f>
        <v>0</v>
      </c>
      <c r="J29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29" s="4">
        <f>Novembre[[#This Row],[CI (h)]]*Novembre[[#This Row],[PRU (€)]]</f>
        <v>204</v>
      </c>
      <c r="L29" s="4">
        <f>Novembre[[#This Row],[CR (h)]]*Novembre[[#This Row],[PRU (€)]]</f>
        <v>204</v>
      </c>
      <c r="M29" s="4">
        <f>Novembre[[#This Row],[PRU (€)]]*Novembre[[#This Row],[TPS Cumul (h)]]</f>
        <v>0</v>
      </c>
      <c r="N29" s="1" t="s">
        <v>43</v>
      </c>
    </row>
    <row r="30" spans="1:14" x14ac:dyDescent="0.2">
      <c r="A30" s="26"/>
      <c r="B30" s="3" t="s">
        <v>73</v>
      </c>
      <c r="C30" t="s">
        <v>19</v>
      </c>
      <c r="D30" s="4">
        <v>0</v>
      </c>
      <c r="E30" s="4"/>
      <c r="F30" s="4">
        <f>Novembre[[#This Row],[TPS Période(h)]]+Octobre[[#This Row],[TPS Cumul (h)]]</f>
        <v>0</v>
      </c>
      <c r="G30" s="4">
        <f>MAX(Novembre[[#This Row],[CI (h)]]-Novembre[[#This Row],[TPS Cumul (h)]], 0)</f>
        <v>0</v>
      </c>
      <c r="H30" s="4">
        <f>Novembre[[#This Row],[TPS Cumul (h)]]+Novembre[[#This Row],[RPS (h)]]</f>
        <v>0</v>
      </c>
      <c r="I30" s="4">
        <f>Novembre[[#This Row],[CI (h)]]-Novembre[[#This Row],[CR (h)]]</f>
        <v>0</v>
      </c>
      <c r="J30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30" s="4">
        <f>Novembre[[#This Row],[CI (h)]]*Novembre[[#This Row],[PRU (€)]]</f>
        <v>0</v>
      </c>
      <c r="L30" s="4">
        <f>Novembre[[#This Row],[CR (h)]]*Novembre[[#This Row],[PRU (€)]]</f>
        <v>0</v>
      </c>
      <c r="M30" s="4">
        <f>Novembre[[#This Row],[PRU (€)]]*Novembre[[#This Row],[TPS Cumul (h)]]</f>
        <v>0</v>
      </c>
      <c r="N30" s="1" t="s">
        <v>43</v>
      </c>
    </row>
    <row r="31" spans="1:14" x14ac:dyDescent="0.2">
      <c r="A31" s="26"/>
      <c r="B31" s="3" t="s">
        <v>74</v>
      </c>
      <c r="C31" t="s">
        <v>19</v>
      </c>
      <c r="D31" s="4">
        <v>0</v>
      </c>
      <c r="E31" s="4"/>
      <c r="F31" s="4">
        <f>Novembre[[#This Row],[TPS Période(h)]]+Octobre[[#This Row],[TPS Cumul (h)]]</f>
        <v>0</v>
      </c>
      <c r="G31" s="4">
        <f>MAX(Novembre[[#This Row],[CI (h)]]-Novembre[[#This Row],[TPS Cumul (h)]], 0)</f>
        <v>0</v>
      </c>
      <c r="H31" s="4">
        <f>Novembre[[#This Row],[TPS Cumul (h)]]+Novembre[[#This Row],[RPS (h)]]</f>
        <v>0</v>
      </c>
      <c r="I31" s="4">
        <f>Novembre[[#This Row],[CI (h)]]-Novembre[[#This Row],[CR (h)]]</f>
        <v>0</v>
      </c>
      <c r="J31" s="4" t="str">
        <f>IF(Novembre[[#This Row],[Qui]]="Chef de projet","68",IF(Novembre[[#This Row],[Qui]]="Ingénieur Electronique","32",IF(Novembre[[#This Row],[Qui]]="Ingénieur qualité","36",IF(Novembre[[#This Row],[Qui]]="Ingénieur Développement",30,IF(Novembre[[#This Row],[Qui]]="Ingénieur Mécanique",34,"")))))</f>
        <v>68</v>
      </c>
      <c r="K31" s="4">
        <f>Novembre[[#This Row],[CI (h)]]*Novembre[[#This Row],[PRU (€)]]</f>
        <v>0</v>
      </c>
      <c r="L31" s="4">
        <f>Novembre[[#This Row],[CR (h)]]*Novembre[[#This Row],[PRU (€)]]</f>
        <v>0</v>
      </c>
      <c r="M31" s="4">
        <f>Novembre[[#This Row],[PRU (€)]]*Novembre[[#This Row],[TPS Cumul (h)]]</f>
        <v>0</v>
      </c>
      <c r="N31" s="1" t="s">
        <v>43</v>
      </c>
    </row>
    <row r="32" spans="1:14" x14ac:dyDescent="0.2">
      <c r="B32" s="2" t="s">
        <v>21</v>
      </c>
      <c r="C32" s="2"/>
      <c r="D32" s="2">
        <f>SUBTOTAL(109,Novembre[CI (h)])</f>
        <v>120</v>
      </c>
      <c r="E32" s="2">
        <f>SUBTOTAL(109,Novembre[TPS Période(h)])</f>
        <v>0</v>
      </c>
      <c r="F32" s="2">
        <f>SUBTOTAL(109,Novembre[TPS Cumul (h)])</f>
        <v>45</v>
      </c>
      <c r="G32" s="2">
        <f>SUBTOTAL(109,Novembre[RPS (h)])</f>
        <v>93</v>
      </c>
      <c r="H32" s="2">
        <f>SUBTOTAL(109,Novembre[CR (h)])</f>
        <v>138</v>
      </c>
      <c r="I32" s="2">
        <f>SUBTOTAL(109,Novembre[EC (h)])</f>
        <v>-18</v>
      </c>
      <c r="J32" s="2">
        <f>SUBTOTAL(109,Novembre[PRU (€)])</f>
        <v>0</v>
      </c>
      <c r="K32" s="2">
        <f>SUBTOTAL(109,Novembre[Coût Initial (€)])</f>
        <v>8160</v>
      </c>
      <c r="L32" s="1">
        <f>SUBTOTAL(109,Novembre[Coût Révisé (€)])</f>
        <v>9384</v>
      </c>
      <c r="M32" s="2">
        <f>SUBTOTAL(109,Novembre[Coût Réel])</f>
        <v>3060</v>
      </c>
      <c r="N32" s="2"/>
    </row>
    <row r="33" spans="2:14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6" spans="2:14" x14ac:dyDescent="0.2">
      <c r="B36" s="7" t="s">
        <v>23</v>
      </c>
      <c r="C36" s="7" t="s">
        <v>40</v>
      </c>
      <c r="D36" s="7" t="s">
        <v>26</v>
      </c>
      <c r="N36" s="5" t="s">
        <v>41</v>
      </c>
    </row>
    <row r="37" spans="2:14" x14ac:dyDescent="0.2">
      <c r="B37" s="5" t="s">
        <v>24</v>
      </c>
      <c r="C37" s="5">
        <f>SUMIFS(Novembre[CI (h)], Novembre[Qui], "Chef de Projet")</f>
        <v>120</v>
      </c>
      <c r="D37" s="5">
        <v>68</v>
      </c>
      <c r="N37" s="5" t="s">
        <v>42</v>
      </c>
    </row>
    <row r="38" spans="2:14" x14ac:dyDescent="0.2">
      <c r="B38" s="5" t="s">
        <v>21</v>
      </c>
      <c r="C38" s="5">
        <f>SUM(C37:C37)</f>
        <v>120</v>
      </c>
      <c r="D38" s="5"/>
    </row>
  </sheetData>
  <mergeCells count="8">
    <mergeCell ref="A29:A31"/>
    <mergeCell ref="A4:A9"/>
    <mergeCell ref="A2:A3"/>
    <mergeCell ref="A10:A13"/>
    <mergeCell ref="A14:A17"/>
    <mergeCell ref="A18:A22"/>
    <mergeCell ref="A23:A24"/>
    <mergeCell ref="A25:A26"/>
  </mergeCells>
  <conditionalFormatting sqref="B2:B3">
    <cfRule type="expression" dxfId="111" priority="7">
      <formula>$F2&gt;0</formula>
    </cfRule>
  </conditionalFormatting>
  <conditionalFormatting sqref="B4:B9">
    <cfRule type="expression" dxfId="110" priority="10">
      <formula>#REF!&gt;0</formula>
    </cfRule>
  </conditionalFormatting>
  <conditionalFormatting sqref="B6">
    <cfRule type="expression" dxfId="109" priority="11">
      <formula>$F4&gt;0</formula>
    </cfRule>
  </conditionalFormatting>
  <conditionalFormatting sqref="B7:B8">
    <cfRule type="expression" dxfId="108" priority="20">
      <formula>$F12&gt;0</formula>
    </cfRule>
  </conditionalFormatting>
  <conditionalFormatting sqref="B9">
    <cfRule type="expression" dxfId="107" priority="19">
      <formula>$F13&gt;0</formula>
    </cfRule>
  </conditionalFormatting>
  <conditionalFormatting sqref="B11">
    <cfRule type="expression" dxfId="106" priority="14">
      <formula>#REF!&gt;0</formula>
    </cfRule>
  </conditionalFormatting>
  <conditionalFormatting sqref="B12:B13">
    <cfRule type="expression" dxfId="105" priority="13">
      <formula>$F15&gt;0</formula>
    </cfRule>
  </conditionalFormatting>
  <conditionalFormatting sqref="B14:B18">
    <cfRule type="expression" dxfId="104" priority="8">
      <formula>#REF!&gt;0</formula>
    </cfRule>
  </conditionalFormatting>
  <conditionalFormatting sqref="B21:B29">
    <cfRule type="expression" dxfId="103" priority="3">
      <formula>#REF!&gt;0</formula>
    </cfRule>
  </conditionalFormatting>
  <conditionalFormatting sqref="B22 B24:B27 B29">
    <cfRule type="expression" dxfId="102" priority="15">
      <formula>$N22="Oui"</formula>
    </cfRule>
    <cfRule type="expression" dxfId="101" priority="16">
      <formula>$F22&gt;0</formula>
    </cfRule>
  </conditionalFormatting>
  <conditionalFormatting sqref="B22">
    <cfRule type="expression" dxfId="100" priority="17">
      <formula>$N18="Oui"</formula>
    </cfRule>
    <cfRule type="expression" dxfId="99" priority="18">
      <formula>$F18&gt;0</formula>
    </cfRule>
  </conditionalFormatting>
  <conditionalFormatting sqref="B25:B29">
    <cfRule type="expression" dxfId="98" priority="23">
      <formula>#REF!="Oui"</formula>
    </cfRule>
    <cfRule type="expression" dxfId="97" priority="24">
      <formula>#REF!&gt;0</formula>
    </cfRule>
  </conditionalFormatting>
  <conditionalFormatting sqref="B28">
    <cfRule type="expression" dxfId="96" priority="32">
      <formula>#REF!&gt;0</formula>
    </cfRule>
    <cfRule type="expression" dxfId="95" priority="21">
      <formula>#REF!="Oui"</formula>
    </cfRule>
    <cfRule type="expression" dxfId="94" priority="22">
      <formula>#REF!&gt;0</formula>
    </cfRule>
    <cfRule type="expression" dxfId="93" priority="29">
      <formula>$N30="Oui"</formula>
    </cfRule>
    <cfRule type="expression" dxfId="92" priority="30">
      <formula>$F30&gt;0</formula>
    </cfRule>
    <cfRule type="expression" dxfId="91" priority="31">
      <formula>#REF!="Oui"</formula>
    </cfRule>
  </conditionalFormatting>
  <conditionalFormatting sqref="C2:C31 E2:M31">
    <cfRule type="expression" dxfId="90" priority="49">
      <formula>$F2&gt;0</formula>
    </cfRule>
    <cfRule type="expression" dxfId="89" priority="48">
      <formula>$N2="Oui"</formula>
    </cfRule>
  </conditionalFormatting>
  <conditionalFormatting sqref="D2:D31">
    <cfRule type="expression" dxfId="88" priority="1">
      <formula>$F2&gt;0</formula>
    </cfRule>
  </conditionalFormatting>
  <dataValidations count="2">
    <dataValidation type="list" allowBlank="1" showInputMessage="1" showErrorMessage="1" sqref="C2:C31" xr:uid="{504CBCD0-0DDC-437A-BA1C-3E3B69C35F51}">
      <formula1>$B$37:$B$37</formula1>
    </dataValidation>
    <dataValidation type="list" allowBlank="1" showInputMessage="1" showErrorMessage="1" sqref="N2:N31" xr:uid="{42ED9636-9302-44FC-B526-CA5281F0BC67}">
      <formula1>$N$37:$N$37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995E3C-F697-4030-BD76-DE5CA995FB1A}">
  <dimension ref="A1:N38"/>
  <sheetViews>
    <sheetView zoomScale="76" zoomScaleNormal="70" workbookViewId="0">
      <selection activeCell="D2" sqref="D2:D31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16.83203125" bestFit="1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4" max="14" width="15.5" customWidth="1"/>
  </cols>
  <sheetData>
    <row r="1" spans="1:14" x14ac:dyDescent="0.2">
      <c r="A1" s="9" t="s">
        <v>27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2" t="s">
        <v>16</v>
      </c>
      <c r="L1" s="12" t="s">
        <v>17</v>
      </c>
      <c r="M1" s="12" t="s">
        <v>18</v>
      </c>
      <c r="N1" s="15" t="s">
        <v>34</v>
      </c>
    </row>
    <row r="2" spans="1:14" x14ac:dyDescent="0.2">
      <c r="A2" s="25" t="s">
        <v>28</v>
      </c>
      <c r="B2" s="8" t="s">
        <v>45</v>
      </c>
      <c r="C2" t="s">
        <v>24</v>
      </c>
      <c r="D2" s="4">
        <v>1</v>
      </c>
      <c r="E2" s="4">
        <v>0</v>
      </c>
      <c r="F2" s="4">
        <f>Décembre[[#This Row],[TPS Période(h)]]+Novembre[[#This Row],[TPS Cumul (h)]]</f>
        <v>2</v>
      </c>
      <c r="G2" s="4">
        <f>MAX(Décembre[[#This Row],[CI (h)]]-Décembre[[#This Row],[TPS Cumul (h)]], 0)</f>
        <v>0</v>
      </c>
      <c r="H2" s="4">
        <f>Décembre[[#This Row],[TPS Cumul (h)]]+Décembre[[#This Row],[RPS (h)]]</f>
        <v>2</v>
      </c>
      <c r="I2" s="4">
        <f>Décembre[[#This Row],[CI (h)]]-Décembre[[#This Row],[CR (h)]]</f>
        <v>-1</v>
      </c>
      <c r="J2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2" s="4">
        <f>Décembre[[#This Row],[CI (h)]]*Décembre[[#This Row],[PRU (€)]]</f>
        <v>68</v>
      </c>
      <c r="L2" s="4">
        <f>Décembre[[#This Row],[CR (h)]]*Décembre[[#This Row],[PRU (€)]]</f>
        <v>136</v>
      </c>
      <c r="M2" s="16">
        <f>Décembre[[#This Row],[PRU (€)]]*Décembre[[#This Row],[TPS Cumul (h)]]</f>
        <v>136</v>
      </c>
      <c r="N2" s="18" t="s">
        <v>43</v>
      </c>
    </row>
    <row r="3" spans="1:14" x14ac:dyDescent="0.2">
      <c r="A3" s="34"/>
      <c r="B3" s="8" t="s">
        <v>46</v>
      </c>
      <c r="C3" t="s">
        <v>19</v>
      </c>
      <c r="D3" s="4">
        <v>10</v>
      </c>
      <c r="E3" s="4">
        <v>0</v>
      </c>
      <c r="F3" s="4">
        <f>Décembre[[#This Row],[TPS Période(h)]]+Novembre[[#This Row],[TPS Cumul (h)]]</f>
        <v>19</v>
      </c>
      <c r="G3" s="4">
        <f>MAX(Décembre[[#This Row],[CI (h)]]-Décembre[[#This Row],[TPS Cumul (h)]], 0)</f>
        <v>0</v>
      </c>
      <c r="H3" s="4">
        <f>Décembre[[#This Row],[TPS Cumul (h)]]+Décembre[[#This Row],[RPS (h)]]</f>
        <v>19</v>
      </c>
      <c r="I3" s="4">
        <f>Décembre[[#This Row],[CI (h)]]-Décembre[[#This Row],[CR (h)]]</f>
        <v>-9</v>
      </c>
      <c r="J3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3" s="4">
        <f>Décembre[[#This Row],[CI (h)]]*Décembre[[#This Row],[PRU (€)]]</f>
        <v>680</v>
      </c>
      <c r="L3" s="4">
        <f>Décembre[[#This Row],[CR (h)]]*Décembre[[#This Row],[PRU (€)]]</f>
        <v>1292</v>
      </c>
      <c r="M3" s="16">
        <f>Décembre[[#This Row],[PRU (€)]]*Décembre[[#This Row],[TPS Cumul (h)]]</f>
        <v>1292</v>
      </c>
      <c r="N3" s="18" t="s">
        <v>43</v>
      </c>
    </row>
    <row r="4" spans="1:14" x14ac:dyDescent="0.2">
      <c r="A4" s="33" t="s">
        <v>20</v>
      </c>
      <c r="B4" s="8" t="s">
        <v>47</v>
      </c>
      <c r="C4" s="13" t="s">
        <v>19</v>
      </c>
      <c r="D4" s="4">
        <v>5</v>
      </c>
      <c r="E4" s="4">
        <v>0</v>
      </c>
      <c r="F4" s="4">
        <f>Décembre[[#This Row],[TPS Période(h)]]+Novembre[[#This Row],[TPS Cumul (h)]]</f>
        <v>11</v>
      </c>
      <c r="G4" s="4">
        <f>MAX(Décembre[[#This Row],[CI (h)]]-Décembre[[#This Row],[TPS Cumul (h)]], 0)</f>
        <v>0</v>
      </c>
      <c r="H4" s="4">
        <f>Décembre[[#This Row],[TPS Cumul (h)]]+Décembre[[#This Row],[RPS (h)]]</f>
        <v>11</v>
      </c>
      <c r="I4" s="4">
        <f>Décembre[[#This Row],[CI (h)]]-Décembre[[#This Row],[CR (h)]]</f>
        <v>-6</v>
      </c>
      <c r="J4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4" s="4">
        <f>Décembre[[#This Row],[CI (h)]]*Décembre[[#This Row],[PRU (€)]]</f>
        <v>340</v>
      </c>
      <c r="L4" s="4">
        <f>Décembre[[#This Row],[CR (h)]]*Décembre[[#This Row],[PRU (€)]]</f>
        <v>748</v>
      </c>
      <c r="M4" s="16">
        <f>Décembre[[#This Row],[PRU (€)]]*Décembre[[#This Row],[TPS Cumul (h)]]</f>
        <v>748</v>
      </c>
      <c r="N4" s="18" t="s">
        <v>43</v>
      </c>
    </row>
    <row r="5" spans="1:14" x14ac:dyDescent="0.2">
      <c r="A5" s="33"/>
      <c r="B5" s="8" t="s">
        <v>48</v>
      </c>
      <c r="C5" t="s">
        <v>19</v>
      </c>
      <c r="D5" s="4">
        <v>1</v>
      </c>
      <c r="E5" s="4"/>
      <c r="F5" s="4">
        <f>Décembre[[#This Row],[TPS Période(h)]]+Novembre[[#This Row],[TPS Cumul (h)]]</f>
        <v>0</v>
      </c>
      <c r="G5" s="4">
        <f>MAX(Décembre[[#This Row],[CI (h)]]-Décembre[[#This Row],[TPS Cumul (h)]], 0)</f>
        <v>1</v>
      </c>
      <c r="H5" s="4">
        <f>Décembre[[#This Row],[TPS Cumul (h)]]+Décembre[[#This Row],[RPS (h)]]</f>
        <v>1</v>
      </c>
      <c r="I5" s="4">
        <f>Décembre[[#This Row],[CI (h)]]-Décembre[[#This Row],[CR (h)]]</f>
        <v>0</v>
      </c>
      <c r="J5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5" s="4">
        <f>Décembre[[#This Row],[CI (h)]]*Décembre[[#This Row],[PRU (€)]]</f>
        <v>68</v>
      </c>
      <c r="L5" s="4">
        <f>Décembre[[#This Row],[CR (h)]]*Décembre[[#This Row],[PRU (€)]]</f>
        <v>68</v>
      </c>
      <c r="M5" s="16">
        <f>Décembre[[#This Row],[PRU (€)]]*Décembre[[#This Row],[TPS Cumul (h)]]</f>
        <v>0</v>
      </c>
      <c r="N5" s="18" t="s">
        <v>43</v>
      </c>
    </row>
    <row r="6" spans="1:14" x14ac:dyDescent="0.2">
      <c r="A6" s="33"/>
      <c r="B6" s="8" t="s">
        <v>49</v>
      </c>
      <c r="C6" t="s">
        <v>19</v>
      </c>
      <c r="D6" s="4">
        <v>2</v>
      </c>
      <c r="E6" s="4"/>
      <c r="F6" s="4">
        <f>Décembre[[#This Row],[TPS Période(h)]]+Novembre[[#This Row],[TPS Cumul (h)]]</f>
        <v>0</v>
      </c>
      <c r="G6" s="4">
        <f>MAX(Décembre[[#This Row],[CI (h)]]-Décembre[[#This Row],[TPS Cumul (h)]], 0)</f>
        <v>2</v>
      </c>
      <c r="H6" s="4">
        <f>Décembre[[#This Row],[TPS Cumul (h)]]+Décembre[[#This Row],[RPS (h)]]</f>
        <v>2</v>
      </c>
      <c r="I6" s="4">
        <f>Décembre[[#This Row],[CI (h)]]-Décembre[[#This Row],[CR (h)]]</f>
        <v>0</v>
      </c>
      <c r="J6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6" s="4">
        <f>Décembre[[#This Row],[CI (h)]]*Décembre[[#This Row],[PRU (€)]]</f>
        <v>136</v>
      </c>
      <c r="L6" s="4">
        <f>Décembre[[#This Row],[CR (h)]]*Décembre[[#This Row],[PRU (€)]]</f>
        <v>136</v>
      </c>
      <c r="M6" s="16">
        <f>Décembre[[#This Row],[PRU (€)]]*Décembre[[#This Row],[TPS Cumul (h)]]</f>
        <v>0</v>
      </c>
      <c r="N6" s="18" t="s">
        <v>43</v>
      </c>
    </row>
    <row r="7" spans="1:14" x14ac:dyDescent="0.2">
      <c r="A7" s="33"/>
      <c r="B7" s="8" t="s">
        <v>50</v>
      </c>
      <c r="C7" t="s">
        <v>19</v>
      </c>
      <c r="D7" s="4">
        <v>2</v>
      </c>
      <c r="E7" s="4"/>
      <c r="F7" s="4">
        <f>Décembre[[#This Row],[TPS Période(h)]]+Novembre[[#This Row],[TPS Cumul (h)]]</f>
        <v>1</v>
      </c>
      <c r="G7" s="4">
        <f>MAX(Décembre[[#This Row],[CI (h)]]-Décembre[[#This Row],[TPS Cumul (h)]], 0)</f>
        <v>1</v>
      </c>
      <c r="H7" s="4">
        <f>Décembre[[#This Row],[TPS Cumul (h)]]+Décembre[[#This Row],[RPS (h)]]</f>
        <v>2</v>
      </c>
      <c r="I7" s="4">
        <f>Décembre[[#This Row],[CI (h)]]-Décembre[[#This Row],[CR (h)]]</f>
        <v>0</v>
      </c>
      <c r="J7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7" s="4">
        <f>Décembre[[#This Row],[CI (h)]]*Décembre[[#This Row],[PRU (€)]]</f>
        <v>136</v>
      </c>
      <c r="L7" s="4">
        <f>Décembre[[#This Row],[CR (h)]]*Décembre[[#This Row],[PRU (€)]]</f>
        <v>136</v>
      </c>
      <c r="M7" s="16">
        <f>Décembre[[#This Row],[PRU (€)]]*Décembre[[#This Row],[TPS Cumul (h)]]</f>
        <v>68</v>
      </c>
      <c r="N7" s="18" t="s">
        <v>43</v>
      </c>
    </row>
    <row r="8" spans="1:14" x14ac:dyDescent="0.2">
      <c r="A8" s="33"/>
      <c r="B8" s="8" t="s">
        <v>51</v>
      </c>
      <c r="C8" t="s">
        <v>19</v>
      </c>
      <c r="D8" s="4">
        <v>2</v>
      </c>
      <c r="E8" s="4"/>
      <c r="F8" s="4">
        <f>Décembre[[#This Row],[TPS Période(h)]]+Novembre[[#This Row],[TPS Cumul (h)]]</f>
        <v>1</v>
      </c>
      <c r="G8" s="4">
        <f>MAX(Décembre[[#This Row],[CI (h)]]-Décembre[[#This Row],[TPS Cumul (h)]], 0)</f>
        <v>1</v>
      </c>
      <c r="H8" s="4">
        <f>Décembre[[#This Row],[TPS Cumul (h)]]+Décembre[[#This Row],[RPS (h)]]</f>
        <v>2</v>
      </c>
      <c r="I8" s="4">
        <f>Décembre[[#This Row],[CI (h)]]-Décembre[[#This Row],[CR (h)]]</f>
        <v>0</v>
      </c>
      <c r="J8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8" s="4">
        <f>Décembre[[#This Row],[CI (h)]]*Décembre[[#This Row],[PRU (€)]]</f>
        <v>136</v>
      </c>
      <c r="L8" s="4">
        <f>Décembre[[#This Row],[CR (h)]]*Décembre[[#This Row],[PRU (€)]]</f>
        <v>136</v>
      </c>
      <c r="M8" s="16">
        <f>Décembre[[#This Row],[PRU (€)]]*Décembre[[#This Row],[TPS Cumul (h)]]</f>
        <v>68</v>
      </c>
      <c r="N8" s="18" t="s">
        <v>43</v>
      </c>
    </row>
    <row r="9" spans="1:14" x14ac:dyDescent="0.2">
      <c r="A9" s="33"/>
      <c r="B9" s="8" t="s">
        <v>52</v>
      </c>
      <c r="C9" t="s">
        <v>19</v>
      </c>
      <c r="D9" s="4">
        <v>2</v>
      </c>
      <c r="E9" s="4"/>
      <c r="F9" s="4">
        <f>Décembre[[#This Row],[TPS Période(h)]]+Novembre[[#This Row],[TPS Cumul (h)]]</f>
        <v>0</v>
      </c>
      <c r="G9" s="4">
        <f>MAX(Décembre[[#This Row],[CI (h)]]-Décembre[[#This Row],[TPS Cumul (h)]], 0)</f>
        <v>2</v>
      </c>
      <c r="H9" s="4">
        <f>Décembre[[#This Row],[TPS Cumul (h)]]+Décembre[[#This Row],[RPS (h)]]</f>
        <v>2</v>
      </c>
      <c r="I9" s="4">
        <f>Décembre[[#This Row],[CI (h)]]-Décembre[[#This Row],[CR (h)]]</f>
        <v>0</v>
      </c>
      <c r="J9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9" s="4">
        <f>Décembre[[#This Row],[CI (h)]]*Décembre[[#This Row],[PRU (€)]]</f>
        <v>136</v>
      </c>
      <c r="L9" s="4">
        <f>Décembre[[#This Row],[CR (h)]]*Décembre[[#This Row],[PRU (€)]]</f>
        <v>136</v>
      </c>
      <c r="M9" s="16">
        <f>Décembre[[#This Row],[PRU (€)]]*Décembre[[#This Row],[TPS Cumul (h)]]</f>
        <v>0</v>
      </c>
      <c r="N9" s="18" t="s">
        <v>43</v>
      </c>
    </row>
    <row r="10" spans="1:14" x14ac:dyDescent="0.2">
      <c r="A10" s="29" t="s">
        <v>29</v>
      </c>
      <c r="B10" s="3" t="s">
        <v>53</v>
      </c>
      <c r="C10" t="s">
        <v>19</v>
      </c>
      <c r="D10" s="4">
        <v>4</v>
      </c>
      <c r="E10" s="4"/>
      <c r="F10" s="4">
        <f>Décembre[[#This Row],[TPS Période(h)]]+Novembre[[#This Row],[TPS Cumul (h)]]</f>
        <v>3</v>
      </c>
      <c r="G10" s="4">
        <f>MAX(Décembre[[#This Row],[CI (h)]]-Décembre[[#This Row],[TPS Cumul (h)]], 0)</f>
        <v>1</v>
      </c>
      <c r="H10" s="4">
        <f>Décembre[[#This Row],[TPS Cumul (h)]]+Décembre[[#This Row],[RPS (h)]]</f>
        <v>4</v>
      </c>
      <c r="I10" s="4">
        <f>Décembre[[#This Row],[CI (h)]]-Décembre[[#This Row],[CR (h)]]</f>
        <v>0</v>
      </c>
      <c r="J10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10" s="4">
        <f>Décembre[[#This Row],[CI (h)]]*Décembre[[#This Row],[PRU (€)]]</f>
        <v>272</v>
      </c>
      <c r="L10" s="4">
        <f>Décembre[[#This Row],[CR (h)]]*Décembre[[#This Row],[PRU (€)]]</f>
        <v>272</v>
      </c>
      <c r="M10" s="16">
        <f>Décembre[[#This Row],[PRU (€)]]*Décembre[[#This Row],[TPS Cumul (h)]]</f>
        <v>204</v>
      </c>
      <c r="N10" s="18" t="s">
        <v>43</v>
      </c>
    </row>
    <row r="11" spans="1:14" x14ac:dyDescent="0.2">
      <c r="A11" s="30"/>
      <c r="B11" s="3" t="s">
        <v>54</v>
      </c>
      <c r="C11" t="s">
        <v>19</v>
      </c>
      <c r="D11" s="4">
        <v>4</v>
      </c>
      <c r="E11" s="4"/>
      <c r="F11" s="4">
        <f>Décembre[[#This Row],[TPS Période(h)]]+Novembre[[#This Row],[TPS Cumul (h)]]</f>
        <v>0</v>
      </c>
      <c r="G11" s="4">
        <f>MAX(Décembre[[#This Row],[CI (h)]]-Décembre[[#This Row],[TPS Cumul (h)]], 0)</f>
        <v>4</v>
      </c>
      <c r="H11" s="4">
        <f>Décembre[[#This Row],[TPS Cumul (h)]]+Décembre[[#This Row],[RPS (h)]]</f>
        <v>4</v>
      </c>
      <c r="I11" s="4">
        <f>Décembre[[#This Row],[CI (h)]]-Décembre[[#This Row],[CR (h)]]</f>
        <v>0</v>
      </c>
      <c r="J11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11" s="4">
        <f>Décembre[[#This Row],[CI (h)]]*Décembre[[#This Row],[PRU (€)]]</f>
        <v>272</v>
      </c>
      <c r="L11" s="4">
        <f>Décembre[[#This Row],[CR (h)]]*Décembre[[#This Row],[PRU (€)]]</f>
        <v>272</v>
      </c>
      <c r="M11" s="16">
        <f>Décembre[[#This Row],[PRU (€)]]*Décembre[[#This Row],[TPS Cumul (h)]]</f>
        <v>0</v>
      </c>
      <c r="N11" s="18" t="s">
        <v>43</v>
      </c>
    </row>
    <row r="12" spans="1:14" x14ac:dyDescent="0.2">
      <c r="A12" s="30"/>
      <c r="B12" s="3" t="s">
        <v>55</v>
      </c>
      <c r="C12" t="s">
        <v>19</v>
      </c>
      <c r="D12" s="4">
        <v>1</v>
      </c>
      <c r="E12" s="4"/>
      <c r="F12" s="4">
        <f>Décembre[[#This Row],[TPS Période(h)]]+Novembre[[#This Row],[TPS Cumul (h)]]</f>
        <v>3</v>
      </c>
      <c r="G12" s="4">
        <f>MAX(Décembre[[#This Row],[CI (h)]]-Décembre[[#This Row],[TPS Cumul (h)]], 0)</f>
        <v>0</v>
      </c>
      <c r="H12" s="4">
        <f>Décembre[[#This Row],[TPS Cumul (h)]]+Décembre[[#This Row],[RPS (h)]]</f>
        <v>3</v>
      </c>
      <c r="I12" s="4">
        <f>Décembre[[#This Row],[CI (h)]]-Décembre[[#This Row],[CR (h)]]</f>
        <v>-2</v>
      </c>
      <c r="J12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12" s="4">
        <f>Décembre[[#This Row],[CI (h)]]*Décembre[[#This Row],[PRU (€)]]</f>
        <v>68</v>
      </c>
      <c r="L12" s="4">
        <f>Décembre[[#This Row],[CR (h)]]*Décembre[[#This Row],[PRU (€)]]</f>
        <v>204</v>
      </c>
      <c r="M12" s="16">
        <f>Décembre[[#This Row],[PRU (€)]]*Décembre[[#This Row],[TPS Cumul (h)]]</f>
        <v>204</v>
      </c>
      <c r="N12" s="18" t="s">
        <v>43</v>
      </c>
    </row>
    <row r="13" spans="1:14" x14ac:dyDescent="0.2">
      <c r="A13" s="30"/>
      <c r="B13" s="3" t="s">
        <v>56</v>
      </c>
      <c r="C13" t="s">
        <v>19</v>
      </c>
      <c r="D13" s="4">
        <v>2</v>
      </c>
      <c r="E13" s="4"/>
      <c r="F13" s="4">
        <f>Décembre[[#This Row],[TPS Période(h)]]+Novembre[[#This Row],[TPS Cumul (h)]]</f>
        <v>1</v>
      </c>
      <c r="G13" s="4">
        <f>MAX(Décembre[[#This Row],[CI (h)]]-Décembre[[#This Row],[TPS Cumul (h)]], 0)</f>
        <v>1</v>
      </c>
      <c r="H13" s="4">
        <f>Décembre[[#This Row],[TPS Cumul (h)]]+Décembre[[#This Row],[RPS (h)]]</f>
        <v>2</v>
      </c>
      <c r="I13" s="4">
        <f>Décembre[[#This Row],[CI (h)]]-Décembre[[#This Row],[CR (h)]]</f>
        <v>0</v>
      </c>
      <c r="J13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13" s="4">
        <f>Décembre[[#This Row],[CI (h)]]*Décembre[[#This Row],[PRU (€)]]</f>
        <v>136</v>
      </c>
      <c r="L13" s="4">
        <f>Décembre[[#This Row],[CR (h)]]*Décembre[[#This Row],[PRU (€)]]</f>
        <v>136</v>
      </c>
      <c r="M13" s="16">
        <f>Décembre[[#This Row],[PRU (€)]]*Décembre[[#This Row],[TPS Cumul (h)]]</f>
        <v>68</v>
      </c>
      <c r="N13" s="18" t="s">
        <v>43</v>
      </c>
    </row>
    <row r="14" spans="1:14" x14ac:dyDescent="0.2">
      <c r="A14" s="26" t="s">
        <v>30</v>
      </c>
      <c r="B14" s="3" t="s">
        <v>57</v>
      </c>
      <c r="C14" t="s">
        <v>19</v>
      </c>
      <c r="D14" s="4">
        <v>7</v>
      </c>
      <c r="E14" s="4"/>
      <c r="F14" s="4">
        <f>Décembre[[#This Row],[TPS Période(h)]]+Novembre[[#This Row],[TPS Cumul (h)]]</f>
        <v>0</v>
      </c>
      <c r="G14" s="4">
        <f>MAX(Décembre[[#This Row],[CI (h)]]-Décembre[[#This Row],[TPS Cumul (h)]], 0)</f>
        <v>7</v>
      </c>
      <c r="H14" s="4">
        <f>Décembre[[#This Row],[TPS Cumul (h)]]+Décembre[[#This Row],[RPS (h)]]</f>
        <v>7</v>
      </c>
      <c r="I14" s="4">
        <f>Décembre[[#This Row],[CI (h)]]-Décembre[[#This Row],[CR (h)]]</f>
        <v>0</v>
      </c>
      <c r="J14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14" s="4">
        <f>Décembre[[#This Row],[CI (h)]]*Décembre[[#This Row],[PRU (€)]]</f>
        <v>476</v>
      </c>
      <c r="L14" s="4">
        <f>Décembre[[#This Row],[CR (h)]]*Décembre[[#This Row],[PRU (€)]]</f>
        <v>476</v>
      </c>
      <c r="M14" s="16">
        <f>Décembre[[#This Row],[PRU (€)]]*Décembre[[#This Row],[TPS Cumul (h)]]</f>
        <v>0</v>
      </c>
      <c r="N14" s="18" t="s">
        <v>43</v>
      </c>
    </row>
    <row r="15" spans="1:14" x14ac:dyDescent="0.2">
      <c r="A15" s="26"/>
      <c r="B15" s="3" t="s">
        <v>58</v>
      </c>
      <c r="C15" t="s">
        <v>19</v>
      </c>
      <c r="D15" s="4">
        <v>7</v>
      </c>
      <c r="E15" s="4"/>
      <c r="F15" s="4">
        <f>Décembre[[#This Row],[TPS Période(h)]]+Novembre[[#This Row],[TPS Cumul (h)]]</f>
        <v>2</v>
      </c>
      <c r="G15" s="4">
        <f>MAX(Décembre[[#This Row],[CI (h)]]-Décembre[[#This Row],[TPS Cumul (h)]], 0)</f>
        <v>5</v>
      </c>
      <c r="H15" s="4">
        <f>Décembre[[#This Row],[TPS Cumul (h)]]+Décembre[[#This Row],[RPS (h)]]</f>
        <v>7</v>
      </c>
      <c r="I15" s="4">
        <f>Décembre[[#This Row],[CI (h)]]-Décembre[[#This Row],[CR (h)]]</f>
        <v>0</v>
      </c>
      <c r="J15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15" s="4">
        <f>Décembre[[#This Row],[CI (h)]]*Décembre[[#This Row],[PRU (€)]]</f>
        <v>476</v>
      </c>
      <c r="L15" s="4">
        <f>Décembre[[#This Row],[CR (h)]]*Décembre[[#This Row],[PRU (€)]]</f>
        <v>476</v>
      </c>
      <c r="M15" s="16">
        <f>Décembre[[#This Row],[PRU (€)]]*Décembre[[#This Row],[TPS Cumul (h)]]</f>
        <v>136</v>
      </c>
      <c r="N15" s="18" t="s">
        <v>43</v>
      </c>
    </row>
    <row r="16" spans="1:14" x14ac:dyDescent="0.2">
      <c r="A16" s="26"/>
      <c r="B16" s="3" t="s">
        <v>59</v>
      </c>
      <c r="C16" t="s">
        <v>19</v>
      </c>
      <c r="D16" s="19">
        <v>4</v>
      </c>
      <c r="E16" s="4"/>
      <c r="F16" s="4">
        <f>Décembre[[#This Row],[TPS Période(h)]]+Novembre[[#This Row],[TPS Cumul (h)]]</f>
        <v>0</v>
      </c>
      <c r="G16" s="4">
        <f>MAX(Décembre[[#This Row],[CI (h)]]-Décembre[[#This Row],[TPS Cumul (h)]], 0)</f>
        <v>4</v>
      </c>
      <c r="H16" s="4">
        <f>Décembre[[#This Row],[TPS Cumul (h)]]+Décembre[[#This Row],[RPS (h)]]</f>
        <v>4</v>
      </c>
      <c r="I16" s="4">
        <f>Décembre[[#This Row],[CI (h)]]-Décembre[[#This Row],[CR (h)]]</f>
        <v>0</v>
      </c>
      <c r="J16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16" s="4">
        <f>Décembre[[#This Row],[CI (h)]]*Décembre[[#This Row],[PRU (€)]]</f>
        <v>272</v>
      </c>
      <c r="L16" s="4">
        <f>Décembre[[#This Row],[CR (h)]]*Décembre[[#This Row],[PRU (€)]]</f>
        <v>272</v>
      </c>
      <c r="M16" s="16">
        <f>Décembre[[#This Row],[PRU (€)]]*Décembre[[#This Row],[TPS Cumul (h)]]</f>
        <v>0</v>
      </c>
      <c r="N16" s="18" t="s">
        <v>43</v>
      </c>
    </row>
    <row r="17" spans="1:14" x14ac:dyDescent="0.2">
      <c r="A17" s="26"/>
      <c r="B17" s="3" t="s">
        <v>60</v>
      </c>
      <c r="C17" t="s">
        <v>19</v>
      </c>
      <c r="D17" s="4">
        <v>3</v>
      </c>
      <c r="E17" s="4"/>
      <c r="F17" s="4">
        <f>Décembre[[#This Row],[TPS Période(h)]]+Novembre[[#This Row],[TPS Cumul (h)]]</f>
        <v>2</v>
      </c>
      <c r="G17" s="4">
        <f>MAX(Décembre[[#This Row],[CI (h)]]-Décembre[[#This Row],[TPS Cumul (h)]], 0)</f>
        <v>1</v>
      </c>
      <c r="H17" s="4">
        <f>Décembre[[#This Row],[TPS Cumul (h)]]+Décembre[[#This Row],[RPS (h)]]</f>
        <v>3</v>
      </c>
      <c r="I17" s="4">
        <f>Décembre[[#This Row],[CI (h)]]-Décembre[[#This Row],[CR (h)]]</f>
        <v>0</v>
      </c>
      <c r="J17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17" s="4">
        <f>Décembre[[#This Row],[CI (h)]]*Décembre[[#This Row],[PRU (€)]]</f>
        <v>204</v>
      </c>
      <c r="L17" s="4">
        <f>Décembre[[#This Row],[CR (h)]]*Décembre[[#This Row],[PRU (€)]]</f>
        <v>204</v>
      </c>
      <c r="M17" s="16">
        <f>Décembre[[#This Row],[PRU (€)]]*Décembre[[#This Row],[TPS Cumul (h)]]</f>
        <v>136</v>
      </c>
      <c r="N17" s="18" t="s">
        <v>43</v>
      </c>
    </row>
    <row r="18" spans="1:14" x14ac:dyDescent="0.2">
      <c r="A18" s="35" t="s">
        <v>31</v>
      </c>
      <c r="B18" s="3" t="s">
        <v>61</v>
      </c>
      <c r="C18" t="s">
        <v>19</v>
      </c>
      <c r="D18" s="4">
        <v>10</v>
      </c>
      <c r="E18" s="4"/>
      <c r="F18" s="4">
        <f>Décembre[[#This Row],[TPS Période(h)]]+Novembre[[#This Row],[TPS Cumul (h)]]</f>
        <v>0</v>
      </c>
      <c r="G18" s="4">
        <f>MAX(Décembre[[#This Row],[CI (h)]]-Décembre[[#This Row],[TPS Cumul (h)]], 0)</f>
        <v>10</v>
      </c>
      <c r="H18" s="4">
        <f>Décembre[[#This Row],[TPS Cumul (h)]]+Décembre[[#This Row],[RPS (h)]]</f>
        <v>10</v>
      </c>
      <c r="I18" s="4">
        <f>Décembre[[#This Row],[CI (h)]]-Décembre[[#This Row],[CR (h)]]</f>
        <v>0</v>
      </c>
      <c r="J18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18" s="4">
        <f>Décembre[[#This Row],[CI (h)]]*Décembre[[#This Row],[PRU (€)]]</f>
        <v>680</v>
      </c>
      <c r="L18" s="4">
        <f>Décembre[[#This Row],[CR (h)]]*Décembre[[#This Row],[PRU (€)]]</f>
        <v>680</v>
      </c>
      <c r="M18" s="16">
        <f>Décembre[[#This Row],[PRU (€)]]*Décembre[[#This Row],[TPS Cumul (h)]]</f>
        <v>0</v>
      </c>
      <c r="N18" s="18" t="s">
        <v>43</v>
      </c>
    </row>
    <row r="19" spans="1:14" x14ac:dyDescent="0.2">
      <c r="A19" s="36"/>
      <c r="B19" s="3" t="s">
        <v>62</v>
      </c>
      <c r="C19" t="s">
        <v>19</v>
      </c>
      <c r="D19" s="4">
        <v>10</v>
      </c>
      <c r="E19" s="4"/>
      <c r="F19" s="4">
        <f>Décembre[[#This Row],[TPS Période(h)]]+Novembre[[#This Row],[TPS Cumul (h)]]</f>
        <v>0</v>
      </c>
      <c r="G19" s="4">
        <f>MAX(Décembre[[#This Row],[CI (h)]]-Décembre[[#This Row],[TPS Cumul (h)]], 0)</f>
        <v>10</v>
      </c>
      <c r="H19" s="4">
        <f>Décembre[[#This Row],[TPS Cumul (h)]]+Décembre[[#This Row],[RPS (h)]]</f>
        <v>10</v>
      </c>
      <c r="I19" s="4">
        <f>Décembre[[#This Row],[CI (h)]]-Décembre[[#This Row],[CR (h)]]</f>
        <v>0</v>
      </c>
      <c r="J19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19" s="4">
        <f>Décembre[[#This Row],[CI (h)]]*Décembre[[#This Row],[PRU (€)]]</f>
        <v>680</v>
      </c>
      <c r="L19" s="4">
        <f>Décembre[[#This Row],[CR (h)]]*Décembre[[#This Row],[PRU (€)]]</f>
        <v>680</v>
      </c>
      <c r="M19" s="16">
        <f>Décembre[[#This Row],[PRU (€)]]*Décembre[[#This Row],[TPS Cumul (h)]]</f>
        <v>0</v>
      </c>
      <c r="N19" s="18" t="s">
        <v>43</v>
      </c>
    </row>
    <row r="20" spans="1:14" x14ac:dyDescent="0.2">
      <c r="A20" s="36"/>
      <c r="B20" s="3" t="s">
        <v>63</v>
      </c>
      <c r="C20" t="s">
        <v>19</v>
      </c>
      <c r="D20" s="4">
        <v>5</v>
      </c>
      <c r="E20" s="4"/>
      <c r="F20" s="4">
        <f>Décembre[[#This Row],[TPS Période(h)]]+Novembre[[#This Row],[TPS Cumul (h)]]</f>
        <v>0</v>
      </c>
      <c r="G20" s="4">
        <f>MAX(Décembre[[#This Row],[CI (h)]]-Décembre[[#This Row],[TPS Cumul (h)]], 0)</f>
        <v>5</v>
      </c>
      <c r="H20" s="4">
        <f>Décembre[[#This Row],[TPS Cumul (h)]]+Décembre[[#This Row],[RPS (h)]]</f>
        <v>5</v>
      </c>
      <c r="I20" s="4">
        <f>Décembre[[#This Row],[CI (h)]]-Décembre[[#This Row],[CR (h)]]</f>
        <v>0</v>
      </c>
      <c r="J20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20" s="4">
        <f>Décembre[[#This Row],[CI (h)]]*Décembre[[#This Row],[PRU (€)]]</f>
        <v>340</v>
      </c>
      <c r="L20" s="4">
        <f>Décembre[[#This Row],[CR (h)]]*Décembre[[#This Row],[PRU (€)]]</f>
        <v>340</v>
      </c>
      <c r="M20" s="16">
        <f>Décembre[[#This Row],[PRU (€)]]*Décembre[[#This Row],[TPS Cumul (h)]]</f>
        <v>0</v>
      </c>
      <c r="N20" s="18" t="s">
        <v>43</v>
      </c>
    </row>
    <row r="21" spans="1:14" x14ac:dyDescent="0.2">
      <c r="A21" s="36"/>
      <c r="B21" s="3" t="s">
        <v>64</v>
      </c>
      <c r="C21" t="s">
        <v>19</v>
      </c>
      <c r="D21" s="4">
        <v>3</v>
      </c>
      <c r="E21" s="4"/>
      <c r="F21" s="4">
        <f>Décembre[[#This Row],[TPS Période(h)]]+Novembre[[#This Row],[TPS Cumul (h)]]</f>
        <v>0</v>
      </c>
      <c r="G21" s="4">
        <f>MAX(Décembre[[#This Row],[CI (h)]]-Décembre[[#This Row],[TPS Cumul (h)]], 0)</f>
        <v>3</v>
      </c>
      <c r="H21" s="4">
        <f>Décembre[[#This Row],[TPS Cumul (h)]]+Décembre[[#This Row],[RPS (h)]]</f>
        <v>3</v>
      </c>
      <c r="I21" s="4">
        <f>Décembre[[#This Row],[CI (h)]]-Décembre[[#This Row],[CR (h)]]</f>
        <v>0</v>
      </c>
      <c r="J21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21" s="4">
        <f>Décembre[[#This Row],[CI (h)]]*Décembre[[#This Row],[PRU (€)]]</f>
        <v>204</v>
      </c>
      <c r="L21" s="4">
        <f>Décembre[[#This Row],[CR (h)]]*Décembre[[#This Row],[PRU (€)]]</f>
        <v>204</v>
      </c>
      <c r="M21" s="16">
        <f>Décembre[[#This Row],[PRU (€)]]*Décembre[[#This Row],[TPS Cumul (h)]]</f>
        <v>0</v>
      </c>
      <c r="N21" s="18" t="s">
        <v>43</v>
      </c>
    </row>
    <row r="22" spans="1:14" x14ac:dyDescent="0.2">
      <c r="A22" s="36"/>
      <c r="B22" s="3" t="s">
        <v>72</v>
      </c>
      <c r="C22" t="s">
        <v>19</v>
      </c>
      <c r="D22" s="4">
        <v>7</v>
      </c>
      <c r="E22" s="4"/>
      <c r="F22" s="4">
        <f>Décembre[[#This Row],[TPS Période(h)]]+Novembre[[#This Row],[TPS Cumul (h)]]</f>
        <v>0</v>
      </c>
      <c r="G22" s="4">
        <f>MAX(Décembre[[#This Row],[CI (h)]]-Décembre[[#This Row],[TPS Cumul (h)]], 0)</f>
        <v>7</v>
      </c>
      <c r="H22" s="4">
        <f>Décembre[[#This Row],[TPS Cumul (h)]]+Décembre[[#This Row],[RPS (h)]]</f>
        <v>7</v>
      </c>
      <c r="I22" s="4">
        <f>Décembre[[#This Row],[CI (h)]]-Décembre[[#This Row],[CR (h)]]</f>
        <v>0</v>
      </c>
      <c r="J22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22" s="4">
        <f>Décembre[[#This Row],[CI (h)]]*Décembre[[#This Row],[PRU (€)]]</f>
        <v>476</v>
      </c>
      <c r="L22" s="4">
        <f>Décembre[[#This Row],[CR (h)]]*Décembre[[#This Row],[PRU (€)]]</f>
        <v>476</v>
      </c>
      <c r="M22" s="16">
        <f>Décembre[[#This Row],[PRU (€)]]*Décembre[[#This Row],[TPS Cumul (h)]]</f>
        <v>0</v>
      </c>
      <c r="N22" s="18" t="s">
        <v>43</v>
      </c>
    </row>
    <row r="23" spans="1:14" x14ac:dyDescent="0.2">
      <c r="A23" s="25" t="s">
        <v>32</v>
      </c>
      <c r="B23" s="3" t="s">
        <v>65</v>
      </c>
      <c r="C23" t="s">
        <v>19</v>
      </c>
      <c r="D23" s="4">
        <v>7</v>
      </c>
      <c r="E23" s="4"/>
      <c r="F23" s="4">
        <f>Décembre[[#This Row],[TPS Période(h)]]+Novembre[[#This Row],[TPS Cumul (h)]]</f>
        <v>0</v>
      </c>
      <c r="G23" s="4">
        <f>MAX(Décembre[[#This Row],[CI (h)]]-Décembre[[#This Row],[TPS Cumul (h)]], 0)</f>
        <v>7</v>
      </c>
      <c r="H23" s="4">
        <f>Décembre[[#This Row],[TPS Cumul (h)]]+Décembre[[#This Row],[RPS (h)]]</f>
        <v>7</v>
      </c>
      <c r="I23" s="4">
        <f>Décembre[[#This Row],[CI (h)]]-Décembre[[#This Row],[CR (h)]]</f>
        <v>0</v>
      </c>
      <c r="J23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23" s="4">
        <f>Décembre[[#This Row],[CI (h)]]*Décembre[[#This Row],[PRU (€)]]</f>
        <v>476</v>
      </c>
      <c r="L23" s="4">
        <f>Décembre[[#This Row],[CR (h)]]*Décembre[[#This Row],[PRU (€)]]</f>
        <v>476</v>
      </c>
      <c r="M23" s="16">
        <f>Décembre[[#This Row],[PRU (€)]]*Décembre[[#This Row],[TPS Cumul (h)]]</f>
        <v>0</v>
      </c>
      <c r="N23" s="18" t="s">
        <v>43</v>
      </c>
    </row>
    <row r="24" spans="1:14" x14ac:dyDescent="0.2">
      <c r="A24" s="25"/>
      <c r="B24" s="3" t="s">
        <v>66</v>
      </c>
      <c r="C24" t="s">
        <v>19</v>
      </c>
      <c r="D24" s="4">
        <v>2</v>
      </c>
      <c r="E24" s="4"/>
      <c r="F24" s="4">
        <f>Décembre[[#This Row],[TPS Période(h)]]+Novembre[[#This Row],[TPS Cumul (h)]]</f>
        <v>0</v>
      </c>
      <c r="G24" s="4">
        <f>MAX(Décembre[[#This Row],[CI (h)]]-Décembre[[#This Row],[TPS Cumul (h)]], 0)</f>
        <v>2</v>
      </c>
      <c r="H24" s="4">
        <f>Décembre[[#This Row],[TPS Cumul (h)]]+Décembre[[#This Row],[RPS (h)]]</f>
        <v>2</v>
      </c>
      <c r="I24" s="4">
        <f>Décembre[[#This Row],[CI (h)]]-Décembre[[#This Row],[CR (h)]]</f>
        <v>0</v>
      </c>
      <c r="J24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24" s="4">
        <f>Décembre[[#This Row],[CI (h)]]*Décembre[[#This Row],[PRU (€)]]</f>
        <v>136</v>
      </c>
      <c r="L24" s="4">
        <f>Décembre[[#This Row],[CR (h)]]*Décembre[[#This Row],[PRU (€)]]</f>
        <v>136</v>
      </c>
      <c r="M24" s="16">
        <f>Décembre[[#This Row],[PRU (€)]]*Décembre[[#This Row],[TPS Cumul (h)]]</f>
        <v>0</v>
      </c>
      <c r="N24" s="18" t="s">
        <v>43</v>
      </c>
    </row>
    <row r="25" spans="1:14" x14ac:dyDescent="0.2">
      <c r="A25" s="37" t="s">
        <v>33</v>
      </c>
      <c r="B25" s="3" t="s">
        <v>67</v>
      </c>
      <c r="C25" t="s">
        <v>19</v>
      </c>
      <c r="D25" s="4">
        <v>2</v>
      </c>
      <c r="E25" s="4"/>
      <c r="F25" s="4">
        <f>Décembre[[#This Row],[TPS Période(h)]]+Novembre[[#This Row],[TPS Cumul (h)]]</f>
        <v>0</v>
      </c>
      <c r="G25" s="4">
        <f>MAX(Décembre[[#This Row],[CI (h)]]-Décembre[[#This Row],[TPS Cumul (h)]], 0)</f>
        <v>2</v>
      </c>
      <c r="H25" s="4">
        <f>Décembre[[#This Row],[TPS Cumul (h)]]+Décembre[[#This Row],[RPS (h)]]</f>
        <v>2</v>
      </c>
      <c r="I25" s="4">
        <f>Décembre[[#This Row],[CI (h)]]-Décembre[[#This Row],[CR (h)]]</f>
        <v>0</v>
      </c>
      <c r="J25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25" s="4">
        <f>Décembre[[#This Row],[CI (h)]]*Décembre[[#This Row],[PRU (€)]]</f>
        <v>136</v>
      </c>
      <c r="L25" s="4">
        <f>Décembre[[#This Row],[CR (h)]]*Décembre[[#This Row],[PRU (€)]]</f>
        <v>136</v>
      </c>
      <c r="M25" s="16">
        <f>Décembre[[#This Row],[PRU (€)]]*Décembre[[#This Row],[TPS Cumul (h)]]</f>
        <v>0</v>
      </c>
      <c r="N25" s="18" t="s">
        <v>43</v>
      </c>
    </row>
    <row r="26" spans="1:14" x14ac:dyDescent="0.2">
      <c r="A26" s="38"/>
      <c r="B26" s="3" t="s">
        <v>68</v>
      </c>
      <c r="C26" t="s">
        <v>19</v>
      </c>
      <c r="D26" s="4">
        <v>2</v>
      </c>
      <c r="E26" s="4"/>
      <c r="F26" s="4">
        <f>Décembre[[#This Row],[TPS Période(h)]]+Novembre[[#This Row],[TPS Cumul (h)]]</f>
        <v>0</v>
      </c>
      <c r="G26" s="4">
        <f>MAX(Décembre[[#This Row],[CI (h)]]-Décembre[[#This Row],[TPS Cumul (h)]], 0)</f>
        <v>2</v>
      </c>
      <c r="H26" s="4">
        <f>Décembre[[#This Row],[TPS Cumul (h)]]+Décembre[[#This Row],[RPS (h)]]</f>
        <v>2</v>
      </c>
      <c r="I26" s="4">
        <f>Décembre[[#This Row],[CI (h)]]-Décembre[[#This Row],[CR (h)]]</f>
        <v>0</v>
      </c>
      <c r="J26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26" s="4">
        <f>Décembre[[#This Row],[CI (h)]]*Décembre[[#This Row],[PRU (€)]]</f>
        <v>136</v>
      </c>
      <c r="L26" s="4">
        <f>Décembre[[#This Row],[CR (h)]]*Décembre[[#This Row],[PRU (€)]]</f>
        <v>136</v>
      </c>
      <c r="M26" s="16">
        <f>Décembre[[#This Row],[PRU (€)]]*Décembre[[#This Row],[TPS Cumul (h)]]</f>
        <v>0</v>
      </c>
      <c r="N26" s="18" t="s">
        <v>43</v>
      </c>
    </row>
    <row r="27" spans="1:14" x14ac:dyDescent="0.2">
      <c r="A27" s="22" t="s">
        <v>34</v>
      </c>
      <c r="B27" s="8" t="s">
        <v>69</v>
      </c>
      <c r="C27" t="s">
        <v>19</v>
      </c>
      <c r="D27" s="4">
        <v>10</v>
      </c>
      <c r="E27" s="4"/>
      <c r="F27" s="4">
        <f>Décembre[[#This Row],[TPS Période(h)]]+Novembre[[#This Row],[TPS Cumul (h)]]</f>
        <v>0</v>
      </c>
      <c r="G27" s="4">
        <f>MAX(Décembre[[#This Row],[CI (h)]]-Décembre[[#This Row],[TPS Cumul (h)]], 0)</f>
        <v>10</v>
      </c>
      <c r="H27" s="4">
        <f>Décembre[[#This Row],[TPS Cumul (h)]]+Décembre[[#This Row],[RPS (h)]]</f>
        <v>10</v>
      </c>
      <c r="I27" s="4">
        <f>Décembre[[#This Row],[CI (h)]]-Décembre[[#This Row],[CR (h)]]</f>
        <v>0</v>
      </c>
      <c r="J27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27" s="4">
        <f>Décembre[[#This Row],[CI (h)]]*Décembre[[#This Row],[PRU (€)]]</f>
        <v>680</v>
      </c>
      <c r="L27" s="4">
        <f>Décembre[[#This Row],[CR (h)]]*Décembre[[#This Row],[PRU (€)]]</f>
        <v>680</v>
      </c>
      <c r="M27" s="16">
        <f>Décembre[[#This Row],[PRU (€)]]*Décembre[[#This Row],[TPS Cumul (h)]]</f>
        <v>0</v>
      </c>
      <c r="N27" s="18" t="s">
        <v>43</v>
      </c>
    </row>
    <row r="28" spans="1:14" x14ac:dyDescent="0.2">
      <c r="A28" s="22"/>
      <c r="B28" s="8" t="s">
        <v>71</v>
      </c>
      <c r="C28" t="s">
        <v>19</v>
      </c>
      <c r="D28" s="4">
        <v>2</v>
      </c>
      <c r="E28" s="4"/>
      <c r="F28" s="4">
        <f>Décembre[[#This Row],[TPS Période(h)]]+Novembre[[#This Row],[TPS Cumul (h)]]</f>
        <v>0</v>
      </c>
      <c r="G28" s="4">
        <f>MAX(Décembre[[#This Row],[CI (h)]]-Décembre[[#This Row],[TPS Cumul (h)]], 0)</f>
        <v>2</v>
      </c>
      <c r="H28" s="4">
        <f>Décembre[[#This Row],[TPS Cumul (h)]]+Décembre[[#This Row],[RPS (h)]]</f>
        <v>2</v>
      </c>
      <c r="I28" s="4">
        <f>Décembre[[#This Row],[CI (h)]]-Décembre[[#This Row],[CR (h)]]</f>
        <v>0</v>
      </c>
      <c r="J28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28" s="4">
        <f>Décembre[[#This Row],[CI (h)]]*Décembre[[#This Row],[PRU (€)]]</f>
        <v>136</v>
      </c>
      <c r="L28" s="4">
        <f>Décembre[[#This Row],[CR (h)]]*Décembre[[#This Row],[PRU (€)]]</f>
        <v>136</v>
      </c>
      <c r="M28" s="16">
        <f>Décembre[[#This Row],[PRU (€)]]*Décembre[[#This Row],[TPS Cumul (h)]]</f>
        <v>0</v>
      </c>
      <c r="N28" s="18" t="s">
        <v>43</v>
      </c>
    </row>
    <row r="29" spans="1:14" x14ac:dyDescent="0.2">
      <c r="A29" s="32" t="s">
        <v>35</v>
      </c>
      <c r="B29" s="3" t="s">
        <v>70</v>
      </c>
      <c r="C29" t="s">
        <v>19</v>
      </c>
      <c r="D29" s="4">
        <v>3</v>
      </c>
      <c r="E29" s="4"/>
      <c r="F29" s="4">
        <f>Décembre[[#This Row],[TPS Période(h)]]+Novembre[[#This Row],[TPS Cumul (h)]]</f>
        <v>0</v>
      </c>
      <c r="G29" s="4">
        <f>MAX(Décembre[[#This Row],[CI (h)]]-Décembre[[#This Row],[TPS Cumul (h)]], 0)</f>
        <v>3</v>
      </c>
      <c r="H29" s="4">
        <f>Décembre[[#This Row],[TPS Cumul (h)]]+Décembre[[#This Row],[RPS (h)]]</f>
        <v>3</v>
      </c>
      <c r="I29" s="4">
        <f>Décembre[[#This Row],[CI (h)]]-Décembre[[#This Row],[CR (h)]]</f>
        <v>0</v>
      </c>
      <c r="J29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29" s="4">
        <f>Décembre[[#This Row],[CI (h)]]*Décembre[[#This Row],[PRU (€)]]</f>
        <v>204</v>
      </c>
      <c r="L29" s="4">
        <f>Décembre[[#This Row],[CR (h)]]*Décembre[[#This Row],[PRU (€)]]</f>
        <v>204</v>
      </c>
      <c r="M29" s="16">
        <f>Décembre[[#This Row],[PRU (€)]]*Décembre[[#This Row],[TPS Cumul (h)]]</f>
        <v>0</v>
      </c>
      <c r="N29" s="18" t="s">
        <v>43</v>
      </c>
    </row>
    <row r="30" spans="1:14" x14ac:dyDescent="0.2">
      <c r="A30" s="26"/>
      <c r="B30" s="3" t="s">
        <v>73</v>
      </c>
      <c r="C30" t="s">
        <v>19</v>
      </c>
      <c r="D30" s="4">
        <v>0</v>
      </c>
      <c r="E30" s="4"/>
      <c r="F30" s="4">
        <f>Décembre[[#This Row],[TPS Période(h)]]+Novembre[[#This Row],[TPS Cumul (h)]]</f>
        <v>0</v>
      </c>
      <c r="G30" s="4">
        <f>MAX(Décembre[[#This Row],[CI (h)]]-Décembre[[#This Row],[TPS Cumul (h)]], 0)</f>
        <v>0</v>
      </c>
      <c r="H30" s="4">
        <f>Décembre[[#This Row],[TPS Cumul (h)]]+Décembre[[#This Row],[RPS (h)]]</f>
        <v>0</v>
      </c>
      <c r="I30" s="4">
        <f>Décembre[[#This Row],[CI (h)]]-Décembre[[#This Row],[CR (h)]]</f>
        <v>0</v>
      </c>
      <c r="J30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30" s="4">
        <f>Décembre[[#This Row],[CI (h)]]*Décembre[[#This Row],[PRU (€)]]</f>
        <v>0</v>
      </c>
      <c r="L30" s="4">
        <f>Décembre[[#This Row],[CR (h)]]*Décembre[[#This Row],[PRU (€)]]</f>
        <v>0</v>
      </c>
      <c r="M30" s="16">
        <f>Décembre[[#This Row],[PRU (€)]]*Décembre[[#This Row],[TPS Cumul (h)]]</f>
        <v>0</v>
      </c>
      <c r="N30" s="18" t="s">
        <v>43</v>
      </c>
    </row>
    <row r="31" spans="1:14" x14ac:dyDescent="0.2">
      <c r="A31" s="26"/>
      <c r="B31" s="3" t="s">
        <v>74</v>
      </c>
      <c r="C31" t="s">
        <v>19</v>
      </c>
      <c r="D31" s="4">
        <v>0</v>
      </c>
      <c r="E31" s="4"/>
      <c r="F31" s="4">
        <f>Décembre[[#This Row],[TPS Période(h)]]+Novembre[[#This Row],[TPS Cumul (h)]]</f>
        <v>0</v>
      </c>
      <c r="G31" s="4">
        <f>MAX(Décembre[[#This Row],[CI (h)]]-Décembre[[#This Row],[TPS Cumul (h)]], 0)</f>
        <v>0</v>
      </c>
      <c r="H31" s="4">
        <f>Décembre[[#This Row],[TPS Cumul (h)]]+Décembre[[#This Row],[RPS (h)]]</f>
        <v>0</v>
      </c>
      <c r="I31" s="4">
        <f>Décembre[[#This Row],[CI (h)]]-Décembre[[#This Row],[CR (h)]]</f>
        <v>0</v>
      </c>
      <c r="J31" s="4" t="str">
        <f>IF(Décembre[[#This Row],[Qui]]="Chef de projet","68",IF(Décembre[[#This Row],[Qui]]="Ingénieur Electronique","32",IF(Décembre[[#This Row],[Qui]]="Ingénieur qualité","36",IF(Décembre[[#This Row],[Qui]]="Ingénieur Développement",30,IF(Décembre[[#This Row],[Qui]]="Ingénieur Mécanique",34,"")))))</f>
        <v>68</v>
      </c>
      <c r="K31" s="4">
        <f>Décembre[[#This Row],[CI (h)]]*Décembre[[#This Row],[PRU (€)]]</f>
        <v>0</v>
      </c>
      <c r="L31" s="4">
        <f>Décembre[[#This Row],[CR (h)]]*Décembre[[#This Row],[PRU (€)]]</f>
        <v>0</v>
      </c>
      <c r="M31" s="16">
        <f>Décembre[[#This Row],[PRU (€)]]*Décembre[[#This Row],[TPS Cumul (h)]]</f>
        <v>0</v>
      </c>
      <c r="N31" s="18" t="s">
        <v>43</v>
      </c>
    </row>
    <row r="32" spans="1:14" x14ac:dyDescent="0.2">
      <c r="B32" s="2" t="s">
        <v>21</v>
      </c>
      <c r="C32" s="2"/>
      <c r="D32" s="2">
        <f>SUBTOTAL(109,Décembre[CI (h)])</f>
        <v>120</v>
      </c>
      <c r="E32" s="2">
        <f>SUBTOTAL(109,Décembre[TPS Période(h)])</f>
        <v>0</v>
      </c>
      <c r="F32" s="2">
        <f>SUBTOTAL(109,Décembre[TPS Cumul (h)])</f>
        <v>45</v>
      </c>
      <c r="G32" s="2">
        <f>SUBTOTAL(109,Décembre[RPS (h)])</f>
        <v>93</v>
      </c>
      <c r="H32" s="2">
        <f>SUBTOTAL(109,Décembre[CR (h)])</f>
        <v>138</v>
      </c>
      <c r="I32" s="2">
        <f>SUBTOTAL(109,Décembre[EC (h)])</f>
        <v>-18</v>
      </c>
      <c r="J32" s="2">
        <f>SUBTOTAL(109,Décembre[PRU (€)])</f>
        <v>0</v>
      </c>
      <c r="K32" s="2">
        <f>SUBTOTAL(109,Décembre[Coût Initial (€)])</f>
        <v>8160</v>
      </c>
      <c r="L32" s="1">
        <f>SUBTOTAL(109,Décembre[Coût Révisé (€)])</f>
        <v>9384</v>
      </c>
      <c r="M32" s="1">
        <f>SUBTOTAL(109,Décembre[Coût Réel])</f>
        <v>3060</v>
      </c>
      <c r="N32" s="3"/>
    </row>
    <row r="33" spans="2:14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6" spans="2:14" x14ac:dyDescent="0.2">
      <c r="B36" s="7" t="s">
        <v>23</v>
      </c>
      <c r="C36" s="7" t="s">
        <v>40</v>
      </c>
      <c r="D36" s="7" t="s">
        <v>26</v>
      </c>
      <c r="N36" s="5" t="s">
        <v>41</v>
      </c>
    </row>
    <row r="37" spans="2:14" x14ac:dyDescent="0.2">
      <c r="B37" s="5" t="s">
        <v>24</v>
      </c>
      <c r="C37" s="5">
        <f>SUMIFS(Décembre[CI (h)], Décembre[Qui], "Chef de Projet")</f>
        <v>120</v>
      </c>
      <c r="D37" s="5">
        <v>68</v>
      </c>
      <c r="N37" s="5" t="s">
        <v>42</v>
      </c>
    </row>
    <row r="38" spans="2:14" x14ac:dyDescent="0.2">
      <c r="B38" s="5" t="s">
        <v>21</v>
      </c>
      <c r="C38" s="5">
        <f>SUM(C37:C37)</f>
        <v>120</v>
      </c>
      <c r="D38" s="5"/>
    </row>
  </sheetData>
  <mergeCells count="8">
    <mergeCell ref="A29:A31"/>
    <mergeCell ref="A4:A9"/>
    <mergeCell ref="A2:A3"/>
    <mergeCell ref="A10:A13"/>
    <mergeCell ref="A14:A17"/>
    <mergeCell ref="A18:A22"/>
    <mergeCell ref="A23:A24"/>
    <mergeCell ref="A25:A26"/>
  </mergeCells>
  <phoneticPr fontId="2" type="noConversion"/>
  <conditionalFormatting sqref="B2:B3">
    <cfRule type="expression" dxfId="87" priority="7">
      <formula>$F2&gt;0</formula>
    </cfRule>
  </conditionalFormatting>
  <conditionalFormatting sqref="B4:B9">
    <cfRule type="expression" dxfId="86" priority="10">
      <formula>#REF!&gt;0</formula>
    </cfRule>
  </conditionalFormatting>
  <conditionalFormatting sqref="B6">
    <cfRule type="expression" dxfId="85" priority="11">
      <formula>$F4&gt;0</formula>
    </cfRule>
  </conditionalFormatting>
  <conditionalFormatting sqref="B7:B8">
    <cfRule type="expression" dxfId="84" priority="20">
      <formula>$F12&gt;0</formula>
    </cfRule>
  </conditionalFormatting>
  <conditionalFormatting sqref="B9">
    <cfRule type="expression" dxfId="83" priority="19">
      <formula>$F13&gt;0</formula>
    </cfRule>
  </conditionalFormatting>
  <conditionalFormatting sqref="B11">
    <cfRule type="expression" dxfId="82" priority="14">
      <formula>#REF!&gt;0</formula>
    </cfRule>
  </conditionalFormatting>
  <conditionalFormatting sqref="B12:B13">
    <cfRule type="expression" dxfId="81" priority="13">
      <formula>$F15&gt;0</formula>
    </cfRule>
  </conditionalFormatting>
  <conditionalFormatting sqref="B14:B18">
    <cfRule type="expression" dxfId="80" priority="8">
      <formula>#REF!&gt;0</formula>
    </cfRule>
  </conditionalFormatting>
  <conditionalFormatting sqref="B21:B29">
    <cfRule type="expression" dxfId="79" priority="3">
      <formula>#REF!&gt;0</formula>
    </cfRule>
  </conditionalFormatting>
  <conditionalFormatting sqref="B22 B24:B27 B29">
    <cfRule type="expression" dxfId="78" priority="15">
      <formula>$N22="Oui"</formula>
    </cfRule>
    <cfRule type="expression" dxfId="77" priority="16">
      <formula>$F22&gt;0</formula>
    </cfRule>
  </conditionalFormatting>
  <conditionalFormatting sqref="B22">
    <cfRule type="expression" dxfId="76" priority="17">
      <formula>$N18="Oui"</formula>
    </cfRule>
    <cfRule type="expression" dxfId="75" priority="18">
      <formula>$F18&gt;0</formula>
    </cfRule>
  </conditionalFormatting>
  <conditionalFormatting sqref="B25:B29">
    <cfRule type="expression" dxfId="74" priority="23">
      <formula>#REF!="Oui"</formula>
    </cfRule>
    <cfRule type="expression" dxfId="73" priority="24">
      <formula>#REF!&gt;0</formula>
    </cfRule>
  </conditionalFormatting>
  <conditionalFormatting sqref="B28">
    <cfRule type="expression" dxfId="72" priority="21">
      <formula>#REF!="Oui"</formula>
    </cfRule>
    <cfRule type="expression" dxfId="71" priority="22">
      <formula>#REF!&gt;0</formula>
    </cfRule>
    <cfRule type="expression" dxfId="70" priority="29">
      <formula>$N30="Oui"</formula>
    </cfRule>
    <cfRule type="expression" dxfId="69" priority="30">
      <formula>$F30&gt;0</formula>
    </cfRule>
    <cfRule type="expression" dxfId="68" priority="31">
      <formula>#REF!="Oui"</formula>
    </cfRule>
    <cfRule type="expression" dxfId="67" priority="32">
      <formula>#REF!&gt;0</formula>
    </cfRule>
  </conditionalFormatting>
  <conditionalFormatting sqref="C2:C31">
    <cfRule type="expression" dxfId="66" priority="49">
      <formula>$F2&gt;0</formula>
    </cfRule>
    <cfRule type="expression" dxfId="65" priority="48">
      <formula>$N2="Oui"</formula>
    </cfRule>
  </conditionalFormatting>
  <conditionalFormatting sqref="D2:D31">
    <cfRule type="expression" dxfId="64" priority="1">
      <formula>$F2&gt;0</formula>
    </cfRule>
  </conditionalFormatting>
  <conditionalFormatting sqref="E2:I31 K2:M31">
    <cfRule type="expression" dxfId="63" priority="55">
      <formula>$F2&gt;0</formula>
    </cfRule>
  </conditionalFormatting>
  <conditionalFormatting sqref="E2:M31">
    <cfRule type="expression" dxfId="62" priority="52">
      <formula>$N2="Oui"</formula>
    </cfRule>
  </conditionalFormatting>
  <conditionalFormatting sqref="J2:J31">
    <cfRule type="expression" dxfId="61" priority="53">
      <formula>$F2&gt;0</formula>
    </cfRule>
  </conditionalFormatting>
  <dataValidations count="2">
    <dataValidation type="list" allowBlank="1" showInputMessage="1" showErrorMessage="1" sqref="C2:C31" xr:uid="{FBC32C3E-A732-4D89-88A5-C961ED6BB776}">
      <formula1>$B$37:$B$37</formula1>
    </dataValidation>
    <dataValidation type="list" allowBlank="1" showInputMessage="1" showErrorMessage="1" sqref="N2:N31" xr:uid="{C5341C4E-81CD-4D15-95FE-029D3C96D3CA}">
      <formula1>$N$37:$N$37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0DD6-A7C5-4BE0-BF97-82C61AF38122}">
  <dimension ref="A1:N38"/>
  <sheetViews>
    <sheetView zoomScale="63" zoomScaleNormal="100" workbookViewId="0">
      <selection activeCell="D2" sqref="D2:D31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16.83203125" bestFit="1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4" max="14" width="15.5" customWidth="1"/>
  </cols>
  <sheetData>
    <row r="1" spans="1:14" x14ac:dyDescent="0.2">
      <c r="A1" s="9" t="s">
        <v>27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2" t="s">
        <v>16</v>
      </c>
      <c r="L1" s="12" t="s">
        <v>17</v>
      </c>
      <c r="M1" s="12" t="s">
        <v>18</v>
      </c>
      <c r="N1" s="17" t="s">
        <v>34</v>
      </c>
    </row>
    <row r="2" spans="1:14" x14ac:dyDescent="0.2">
      <c r="A2" s="25" t="s">
        <v>28</v>
      </c>
      <c r="B2" s="8" t="s">
        <v>45</v>
      </c>
      <c r="C2" t="s">
        <v>24</v>
      </c>
      <c r="D2" s="4">
        <v>1</v>
      </c>
      <c r="E2" s="4">
        <v>0</v>
      </c>
      <c r="F2" s="4">
        <f>Janvier[[#This Row],[TPS Période(h)]]+Décembre[[#This Row],[TPS Cumul (h)]]</f>
        <v>2</v>
      </c>
      <c r="G2" s="4">
        <f>MAX(Janvier[[#This Row],[CI (h)]]-Janvier[[#This Row],[TPS Cumul (h)]], 0)</f>
        <v>0</v>
      </c>
      <c r="H2" s="4">
        <f>Janvier[[#This Row],[TPS Cumul (h)]]+Janvier[[#This Row],[RPS (h)]]</f>
        <v>2</v>
      </c>
      <c r="I2" s="4">
        <f>Janvier[[#This Row],[CI (h)]]-Janvier[[#This Row],[CR (h)]]</f>
        <v>-1</v>
      </c>
      <c r="J2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2" s="4">
        <f>Janvier[[#This Row],[CI (h)]]*Janvier[[#This Row],[PRU (€)]]</f>
        <v>32</v>
      </c>
      <c r="L2" s="4">
        <f>Janvier[[#This Row],[CR (h)]]*Janvier[[#This Row],[PRU (€)]]</f>
        <v>64</v>
      </c>
      <c r="M2" s="16">
        <f>Janvier[[#This Row],[PRU (€)]]*Janvier[[#This Row],[TPS Cumul (h)]]</f>
        <v>64</v>
      </c>
      <c r="N2" s="18" t="s">
        <v>43</v>
      </c>
    </row>
    <row r="3" spans="1:14" x14ac:dyDescent="0.2">
      <c r="A3" s="34"/>
      <c r="B3" s="8" t="s">
        <v>46</v>
      </c>
      <c r="C3" t="s">
        <v>19</v>
      </c>
      <c r="D3" s="4">
        <v>10</v>
      </c>
      <c r="E3" s="4">
        <v>0</v>
      </c>
      <c r="F3" s="4">
        <f>Janvier[[#This Row],[TPS Période(h)]]+Décembre[[#This Row],[TPS Cumul (h)]]</f>
        <v>19</v>
      </c>
      <c r="G3" s="4">
        <f>MAX(Janvier[[#This Row],[CI (h)]]-Janvier[[#This Row],[TPS Cumul (h)]], 0)</f>
        <v>0</v>
      </c>
      <c r="H3" s="4">
        <f>Janvier[[#This Row],[TPS Cumul (h)]]+Janvier[[#This Row],[RPS (h)]]</f>
        <v>19</v>
      </c>
      <c r="I3" s="4">
        <f>Janvier[[#This Row],[CI (h)]]-Janvier[[#This Row],[CR (h)]]</f>
        <v>-9</v>
      </c>
      <c r="J3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3" s="4">
        <f>Janvier[[#This Row],[CI (h)]]*Janvier[[#This Row],[PRU (€)]]</f>
        <v>320</v>
      </c>
      <c r="L3" s="4">
        <f>Janvier[[#This Row],[CR (h)]]*Janvier[[#This Row],[PRU (€)]]</f>
        <v>608</v>
      </c>
      <c r="M3" s="16">
        <f>Janvier[[#This Row],[PRU (€)]]*Janvier[[#This Row],[TPS Cumul (h)]]</f>
        <v>608</v>
      </c>
      <c r="N3" s="18" t="s">
        <v>43</v>
      </c>
    </row>
    <row r="4" spans="1:14" x14ac:dyDescent="0.2">
      <c r="A4" s="33" t="s">
        <v>20</v>
      </c>
      <c r="B4" s="8" t="s">
        <v>47</v>
      </c>
      <c r="C4" t="s">
        <v>19</v>
      </c>
      <c r="D4" s="4">
        <v>5</v>
      </c>
      <c r="E4" s="4">
        <v>0</v>
      </c>
      <c r="F4" s="4">
        <f>Janvier[[#This Row],[TPS Période(h)]]+Décembre[[#This Row],[TPS Cumul (h)]]</f>
        <v>11</v>
      </c>
      <c r="G4" s="4">
        <f>MAX(Janvier[[#This Row],[CI (h)]]-Janvier[[#This Row],[TPS Cumul (h)]], 0)</f>
        <v>0</v>
      </c>
      <c r="H4" s="4">
        <f>Janvier[[#This Row],[TPS Cumul (h)]]+Janvier[[#This Row],[RPS (h)]]</f>
        <v>11</v>
      </c>
      <c r="I4" s="4">
        <f>Janvier[[#This Row],[CI (h)]]-Janvier[[#This Row],[CR (h)]]</f>
        <v>-6</v>
      </c>
      <c r="J4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4" s="4">
        <f>Janvier[[#This Row],[CI (h)]]*Janvier[[#This Row],[PRU (€)]]</f>
        <v>160</v>
      </c>
      <c r="L4" s="4">
        <f>Janvier[[#This Row],[CR (h)]]*Janvier[[#This Row],[PRU (€)]]</f>
        <v>352</v>
      </c>
      <c r="M4" s="16">
        <f>Janvier[[#This Row],[PRU (€)]]*Janvier[[#This Row],[TPS Cumul (h)]]</f>
        <v>352</v>
      </c>
      <c r="N4" s="18" t="s">
        <v>43</v>
      </c>
    </row>
    <row r="5" spans="1:14" x14ac:dyDescent="0.2">
      <c r="A5" s="33"/>
      <c r="B5" s="8" t="s">
        <v>48</v>
      </c>
      <c r="C5" t="s">
        <v>19</v>
      </c>
      <c r="D5" s="4">
        <v>1</v>
      </c>
      <c r="E5" s="4"/>
      <c r="F5" s="4">
        <f>Janvier[[#This Row],[TPS Période(h)]]+Décembre[[#This Row],[TPS Cumul (h)]]</f>
        <v>0</v>
      </c>
      <c r="G5" s="4">
        <f>MAX(Janvier[[#This Row],[CI (h)]]-Janvier[[#This Row],[TPS Cumul (h)]], 0)</f>
        <v>1</v>
      </c>
      <c r="H5" s="4">
        <f>Janvier[[#This Row],[TPS Cumul (h)]]+Janvier[[#This Row],[RPS (h)]]</f>
        <v>1</v>
      </c>
      <c r="I5" s="4">
        <f>Janvier[[#This Row],[CI (h)]]-Janvier[[#This Row],[CR (h)]]</f>
        <v>0</v>
      </c>
      <c r="J5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5" s="4">
        <f>Janvier[[#This Row],[CI (h)]]*Janvier[[#This Row],[PRU (€)]]</f>
        <v>32</v>
      </c>
      <c r="L5" s="4">
        <f>Janvier[[#This Row],[CR (h)]]*Janvier[[#This Row],[PRU (€)]]</f>
        <v>32</v>
      </c>
      <c r="M5" s="16">
        <f>Janvier[[#This Row],[PRU (€)]]*Janvier[[#This Row],[TPS Cumul (h)]]</f>
        <v>0</v>
      </c>
      <c r="N5" s="18" t="s">
        <v>43</v>
      </c>
    </row>
    <row r="6" spans="1:14" x14ac:dyDescent="0.2">
      <c r="A6" s="33"/>
      <c r="B6" s="8" t="s">
        <v>49</v>
      </c>
      <c r="C6" t="s">
        <v>19</v>
      </c>
      <c r="D6" s="4">
        <v>2</v>
      </c>
      <c r="E6" s="4"/>
      <c r="F6" s="4">
        <f>Janvier[[#This Row],[TPS Période(h)]]+Décembre[[#This Row],[TPS Cumul (h)]]</f>
        <v>0</v>
      </c>
      <c r="G6" s="4">
        <f>MAX(Janvier[[#This Row],[CI (h)]]-Janvier[[#This Row],[TPS Cumul (h)]], 0)</f>
        <v>2</v>
      </c>
      <c r="H6" s="4">
        <f>Janvier[[#This Row],[TPS Cumul (h)]]+Janvier[[#This Row],[RPS (h)]]</f>
        <v>2</v>
      </c>
      <c r="I6" s="4">
        <f>Janvier[[#This Row],[CI (h)]]-Janvier[[#This Row],[CR (h)]]</f>
        <v>0</v>
      </c>
      <c r="J6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6" s="4">
        <f>Janvier[[#This Row],[CI (h)]]*Janvier[[#This Row],[PRU (€)]]</f>
        <v>64</v>
      </c>
      <c r="L6" s="4">
        <f>Janvier[[#This Row],[CR (h)]]*Janvier[[#This Row],[PRU (€)]]</f>
        <v>64</v>
      </c>
      <c r="M6" s="16">
        <f>Janvier[[#This Row],[PRU (€)]]*Janvier[[#This Row],[TPS Cumul (h)]]</f>
        <v>0</v>
      </c>
      <c r="N6" s="18" t="s">
        <v>43</v>
      </c>
    </row>
    <row r="7" spans="1:14" x14ac:dyDescent="0.2">
      <c r="A7" s="33"/>
      <c r="B7" s="8" t="s">
        <v>50</v>
      </c>
      <c r="C7" t="s">
        <v>19</v>
      </c>
      <c r="D7" s="4">
        <v>2</v>
      </c>
      <c r="E7" s="4"/>
      <c r="F7" s="4">
        <f>Janvier[[#This Row],[TPS Période(h)]]+Décembre[[#This Row],[TPS Cumul (h)]]</f>
        <v>1</v>
      </c>
      <c r="G7" s="4">
        <f>MAX(Janvier[[#This Row],[CI (h)]]-Janvier[[#This Row],[TPS Cumul (h)]], 0)</f>
        <v>1</v>
      </c>
      <c r="H7" s="4">
        <f>Janvier[[#This Row],[TPS Cumul (h)]]+Janvier[[#This Row],[RPS (h)]]</f>
        <v>2</v>
      </c>
      <c r="I7" s="4">
        <f>Janvier[[#This Row],[CI (h)]]-Janvier[[#This Row],[CR (h)]]</f>
        <v>0</v>
      </c>
      <c r="J7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7" s="4">
        <f>Janvier[[#This Row],[CI (h)]]*Janvier[[#This Row],[PRU (€)]]</f>
        <v>64</v>
      </c>
      <c r="L7" s="4">
        <f>Janvier[[#This Row],[CR (h)]]*Janvier[[#This Row],[PRU (€)]]</f>
        <v>64</v>
      </c>
      <c r="M7" s="16">
        <f>Janvier[[#This Row],[PRU (€)]]*Janvier[[#This Row],[TPS Cumul (h)]]</f>
        <v>32</v>
      </c>
      <c r="N7" s="18" t="s">
        <v>43</v>
      </c>
    </row>
    <row r="8" spans="1:14" x14ac:dyDescent="0.2">
      <c r="A8" s="33"/>
      <c r="B8" s="8" t="s">
        <v>51</v>
      </c>
      <c r="C8" t="s">
        <v>19</v>
      </c>
      <c r="D8" s="4">
        <v>2</v>
      </c>
      <c r="E8" s="4"/>
      <c r="F8" s="4">
        <f>Janvier[[#This Row],[TPS Période(h)]]+Décembre[[#This Row],[TPS Cumul (h)]]</f>
        <v>1</v>
      </c>
      <c r="G8" s="4">
        <f>MAX(Janvier[[#This Row],[CI (h)]]-Janvier[[#This Row],[TPS Cumul (h)]], 0)</f>
        <v>1</v>
      </c>
      <c r="H8" s="4">
        <f>Janvier[[#This Row],[TPS Cumul (h)]]+Janvier[[#This Row],[RPS (h)]]</f>
        <v>2</v>
      </c>
      <c r="I8" s="4">
        <f>Janvier[[#This Row],[CI (h)]]-Janvier[[#This Row],[CR (h)]]</f>
        <v>0</v>
      </c>
      <c r="J8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8" s="4">
        <f>Janvier[[#This Row],[CI (h)]]*Janvier[[#This Row],[PRU (€)]]</f>
        <v>64</v>
      </c>
      <c r="L8" s="4">
        <f>Janvier[[#This Row],[CR (h)]]*Janvier[[#This Row],[PRU (€)]]</f>
        <v>64</v>
      </c>
      <c r="M8" s="16">
        <f>Janvier[[#This Row],[PRU (€)]]*Janvier[[#This Row],[TPS Cumul (h)]]</f>
        <v>32</v>
      </c>
      <c r="N8" s="18" t="s">
        <v>43</v>
      </c>
    </row>
    <row r="9" spans="1:14" x14ac:dyDescent="0.2">
      <c r="A9" s="33"/>
      <c r="B9" s="8" t="s">
        <v>52</v>
      </c>
      <c r="C9" t="s">
        <v>19</v>
      </c>
      <c r="D9" s="4">
        <v>2</v>
      </c>
      <c r="E9" s="4"/>
      <c r="F9" s="4">
        <f>Janvier[[#This Row],[TPS Période(h)]]+Décembre[[#This Row],[TPS Cumul (h)]]</f>
        <v>0</v>
      </c>
      <c r="G9" s="4">
        <f>MAX(Janvier[[#This Row],[CI (h)]]-Janvier[[#This Row],[TPS Cumul (h)]], 0)</f>
        <v>2</v>
      </c>
      <c r="H9" s="4">
        <f>Janvier[[#This Row],[TPS Cumul (h)]]+Janvier[[#This Row],[RPS (h)]]</f>
        <v>2</v>
      </c>
      <c r="I9" s="4">
        <f>Janvier[[#This Row],[CI (h)]]-Janvier[[#This Row],[CR (h)]]</f>
        <v>0</v>
      </c>
      <c r="J9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9" s="4">
        <f>Janvier[[#This Row],[CI (h)]]*Janvier[[#This Row],[PRU (€)]]</f>
        <v>64</v>
      </c>
      <c r="L9" s="4">
        <f>Janvier[[#This Row],[CR (h)]]*Janvier[[#This Row],[PRU (€)]]</f>
        <v>64</v>
      </c>
      <c r="M9" s="16">
        <f>Janvier[[#This Row],[PRU (€)]]*Janvier[[#This Row],[TPS Cumul (h)]]</f>
        <v>0</v>
      </c>
      <c r="N9" s="18" t="s">
        <v>43</v>
      </c>
    </row>
    <row r="10" spans="1:14" x14ac:dyDescent="0.2">
      <c r="A10" s="29" t="s">
        <v>29</v>
      </c>
      <c r="B10" s="3" t="s">
        <v>53</v>
      </c>
      <c r="C10" t="s">
        <v>19</v>
      </c>
      <c r="D10" s="4">
        <v>4</v>
      </c>
      <c r="E10" s="4"/>
      <c r="F10" s="4">
        <f>Janvier[[#This Row],[TPS Période(h)]]+Décembre[[#This Row],[TPS Cumul (h)]]</f>
        <v>3</v>
      </c>
      <c r="G10" s="4">
        <f>MAX(Janvier[[#This Row],[CI (h)]]-Janvier[[#This Row],[TPS Cumul (h)]], 0)</f>
        <v>1</v>
      </c>
      <c r="H10" s="4">
        <f>Janvier[[#This Row],[TPS Cumul (h)]]+Janvier[[#This Row],[RPS (h)]]</f>
        <v>4</v>
      </c>
      <c r="I10" s="4">
        <f>Janvier[[#This Row],[CI (h)]]-Janvier[[#This Row],[CR (h)]]</f>
        <v>0</v>
      </c>
      <c r="J10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10" s="4">
        <f>Janvier[[#This Row],[CI (h)]]*Janvier[[#This Row],[PRU (€)]]</f>
        <v>128</v>
      </c>
      <c r="L10" s="4">
        <f>Janvier[[#This Row],[CR (h)]]*Janvier[[#This Row],[PRU (€)]]</f>
        <v>128</v>
      </c>
      <c r="M10" s="16">
        <f>Janvier[[#This Row],[PRU (€)]]*Janvier[[#This Row],[TPS Cumul (h)]]</f>
        <v>96</v>
      </c>
      <c r="N10" s="18" t="s">
        <v>43</v>
      </c>
    </row>
    <row r="11" spans="1:14" x14ac:dyDescent="0.2">
      <c r="A11" s="30"/>
      <c r="B11" s="3" t="s">
        <v>54</v>
      </c>
      <c r="C11" t="s">
        <v>19</v>
      </c>
      <c r="D11" s="4">
        <v>4</v>
      </c>
      <c r="E11" s="4"/>
      <c r="F11" s="4">
        <f>Janvier[[#This Row],[TPS Période(h)]]+Décembre[[#This Row],[TPS Cumul (h)]]</f>
        <v>0</v>
      </c>
      <c r="G11" s="4">
        <f>MAX(Janvier[[#This Row],[CI (h)]]-Janvier[[#This Row],[TPS Cumul (h)]], 0)</f>
        <v>4</v>
      </c>
      <c r="H11" s="4">
        <f>Janvier[[#This Row],[TPS Cumul (h)]]+Janvier[[#This Row],[RPS (h)]]</f>
        <v>4</v>
      </c>
      <c r="I11" s="4">
        <f>Janvier[[#This Row],[CI (h)]]-Janvier[[#This Row],[CR (h)]]</f>
        <v>0</v>
      </c>
      <c r="J11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11" s="4">
        <f>Janvier[[#This Row],[CI (h)]]*Janvier[[#This Row],[PRU (€)]]</f>
        <v>128</v>
      </c>
      <c r="L11" s="4">
        <f>Janvier[[#This Row],[CR (h)]]*Janvier[[#This Row],[PRU (€)]]</f>
        <v>128</v>
      </c>
      <c r="M11" s="16">
        <f>Janvier[[#This Row],[PRU (€)]]*Janvier[[#This Row],[TPS Cumul (h)]]</f>
        <v>0</v>
      </c>
      <c r="N11" s="18" t="s">
        <v>43</v>
      </c>
    </row>
    <row r="12" spans="1:14" x14ac:dyDescent="0.2">
      <c r="A12" s="30"/>
      <c r="B12" s="3" t="s">
        <v>55</v>
      </c>
      <c r="C12" t="s">
        <v>19</v>
      </c>
      <c r="D12" s="4">
        <v>1</v>
      </c>
      <c r="E12" s="4"/>
      <c r="F12" s="4">
        <f>Janvier[[#This Row],[TPS Période(h)]]+Décembre[[#This Row],[TPS Cumul (h)]]</f>
        <v>3</v>
      </c>
      <c r="G12" s="4">
        <f>MAX(Janvier[[#This Row],[CI (h)]]-Janvier[[#This Row],[TPS Cumul (h)]], 0)</f>
        <v>0</v>
      </c>
      <c r="H12" s="4">
        <f>Janvier[[#This Row],[TPS Cumul (h)]]+Janvier[[#This Row],[RPS (h)]]</f>
        <v>3</v>
      </c>
      <c r="I12" s="4">
        <f>Janvier[[#This Row],[CI (h)]]-Janvier[[#This Row],[CR (h)]]</f>
        <v>-2</v>
      </c>
      <c r="J12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12" s="4">
        <f>Janvier[[#This Row],[CI (h)]]*Janvier[[#This Row],[PRU (€)]]</f>
        <v>32</v>
      </c>
      <c r="L12" s="4">
        <f>Janvier[[#This Row],[CR (h)]]*Janvier[[#This Row],[PRU (€)]]</f>
        <v>96</v>
      </c>
      <c r="M12" s="16">
        <f>Janvier[[#This Row],[PRU (€)]]*Janvier[[#This Row],[TPS Cumul (h)]]</f>
        <v>96</v>
      </c>
      <c r="N12" s="18" t="s">
        <v>43</v>
      </c>
    </row>
    <row r="13" spans="1:14" x14ac:dyDescent="0.2">
      <c r="A13" s="30"/>
      <c r="B13" s="3" t="s">
        <v>56</v>
      </c>
      <c r="C13" t="s">
        <v>19</v>
      </c>
      <c r="D13" s="4">
        <v>2</v>
      </c>
      <c r="E13" s="4"/>
      <c r="F13" s="4">
        <f>Janvier[[#This Row],[TPS Période(h)]]+Décembre[[#This Row],[TPS Cumul (h)]]</f>
        <v>1</v>
      </c>
      <c r="G13" s="4">
        <f>MAX(Janvier[[#This Row],[CI (h)]]-Janvier[[#This Row],[TPS Cumul (h)]], 0)</f>
        <v>1</v>
      </c>
      <c r="H13" s="4">
        <f>Janvier[[#This Row],[TPS Cumul (h)]]+Janvier[[#This Row],[RPS (h)]]</f>
        <v>2</v>
      </c>
      <c r="I13" s="4">
        <f>Janvier[[#This Row],[CI (h)]]-Janvier[[#This Row],[CR (h)]]</f>
        <v>0</v>
      </c>
      <c r="J13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13" s="4">
        <f>Janvier[[#This Row],[CI (h)]]*Janvier[[#This Row],[PRU (€)]]</f>
        <v>64</v>
      </c>
      <c r="L13" s="4">
        <f>Janvier[[#This Row],[CR (h)]]*Janvier[[#This Row],[PRU (€)]]</f>
        <v>64</v>
      </c>
      <c r="M13" s="16">
        <f>Janvier[[#This Row],[PRU (€)]]*Janvier[[#This Row],[TPS Cumul (h)]]</f>
        <v>32</v>
      </c>
      <c r="N13" s="18" t="s">
        <v>43</v>
      </c>
    </row>
    <row r="14" spans="1:14" x14ac:dyDescent="0.2">
      <c r="A14" s="26" t="s">
        <v>30</v>
      </c>
      <c r="B14" s="3" t="s">
        <v>57</v>
      </c>
      <c r="C14" t="s">
        <v>19</v>
      </c>
      <c r="D14" s="4">
        <v>7</v>
      </c>
      <c r="E14" s="4"/>
      <c r="F14" s="4">
        <f>Janvier[[#This Row],[TPS Période(h)]]+Décembre[[#This Row],[TPS Cumul (h)]]</f>
        <v>0</v>
      </c>
      <c r="G14" s="4">
        <f>MAX(Janvier[[#This Row],[CI (h)]]-Janvier[[#This Row],[TPS Cumul (h)]], 0)</f>
        <v>7</v>
      </c>
      <c r="H14" s="4">
        <f>Janvier[[#This Row],[TPS Cumul (h)]]+Janvier[[#This Row],[RPS (h)]]</f>
        <v>7</v>
      </c>
      <c r="I14" s="4">
        <f>Janvier[[#This Row],[CI (h)]]-Janvier[[#This Row],[CR (h)]]</f>
        <v>0</v>
      </c>
      <c r="J14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14" s="4">
        <f>Janvier[[#This Row],[CI (h)]]*Janvier[[#This Row],[PRU (€)]]</f>
        <v>224</v>
      </c>
      <c r="L14" s="4">
        <f>Janvier[[#This Row],[CR (h)]]*Janvier[[#This Row],[PRU (€)]]</f>
        <v>224</v>
      </c>
      <c r="M14" s="16">
        <f>Janvier[[#This Row],[PRU (€)]]*Janvier[[#This Row],[TPS Cumul (h)]]</f>
        <v>0</v>
      </c>
      <c r="N14" s="18" t="s">
        <v>43</v>
      </c>
    </row>
    <row r="15" spans="1:14" x14ac:dyDescent="0.2">
      <c r="A15" s="26"/>
      <c r="B15" s="3" t="s">
        <v>58</v>
      </c>
      <c r="C15" t="s">
        <v>19</v>
      </c>
      <c r="D15" s="4">
        <v>7</v>
      </c>
      <c r="E15" s="4"/>
      <c r="F15" s="4">
        <f>Janvier[[#This Row],[TPS Période(h)]]+Décembre[[#This Row],[TPS Cumul (h)]]</f>
        <v>2</v>
      </c>
      <c r="G15" s="4">
        <f>MAX(Janvier[[#This Row],[CI (h)]]-Janvier[[#This Row],[TPS Cumul (h)]], 0)</f>
        <v>5</v>
      </c>
      <c r="H15" s="4">
        <f>Janvier[[#This Row],[TPS Cumul (h)]]+Janvier[[#This Row],[RPS (h)]]</f>
        <v>7</v>
      </c>
      <c r="I15" s="4">
        <f>Janvier[[#This Row],[CI (h)]]-Janvier[[#This Row],[CR (h)]]</f>
        <v>0</v>
      </c>
      <c r="J15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15" s="4">
        <f>Janvier[[#This Row],[CI (h)]]*Janvier[[#This Row],[PRU (€)]]</f>
        <v>224</v>
      </c>
      <c r="L15" s="4">
        <f>Janvier[[#This Row],[CR (h)]]*Janvier[[#This Row],[PRU (€)]]</f>
        <v>224</v>
      </c>
      <c r="M15" s="16">
        <f>Janvier[[#This Row],[PRU (€)]]*Janvier[[#This Row],[TPS Cumul (h)]]</f>
        <v>64</v>
      </c>
      <c r="N15" s="18" t="s">
        <v>43</v>
      </c>
    </row>
    <row r="16" spans="1:14" x14ac:dyDescent="0.2">
      <c r="A16" s="26"/>
      <c r="B16" s="3" t="s">
        <v>59</v>
      </c>
      <c r="C16" t="s">
        <v>19</v>
      </c>
      <c r="D16" s="19">
        <v>4</v>
      </c>
      <c r="E16" s="19"/>
      <c r="F16" s="19">
        <f>Janvier[[#This Row],[TPS Période(h)]]+Décembre[[#This Row],[TPS Cumul (h)]]</f>
        <v>0</v>
      </c>
      <c r="G16" s="19">
        <f>MAX(Janvier[[#This Row],[CI (h)]]-Janvier[[#This Row],[TPS Cumul (h)]], 0)</f>
        <v>4</v>
      </c>
      <c r="H16" s="19">
        <f>Janvier[[#This Row],[TPS Cumul (h)]]+Janvier[[#This Row],[RPS (h)]]</f>
        <v>4</v>
      </c>
      <c r="I16" s="19">
        <f>Janvier[[#This Row],[CI (h)]]-Janvier[[#This Row],[CR (h)]]</f>
        <v>0</v>
      </c>
      <c r="J16" s="19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16" s="4">
        <f>Janvier[[#This Row],[CI (h)]]*Janvier[[#This Row],[PRU (€)]]</f>
        <v>128</v>
      </c>
      <c r="L16" s="19">
        <f>Janvier[[#This Row],[CR (h)]]*Janvier[[#This Row],[PRU (€)]]</f>
        <v>128</v>
      </c>
      <c r="M16" s="19">
        <f>Janvier[[#This Row],[PRU (€)]]*Janvier[[#This Row],[TPS Cumul (h)]]</f>
        <v>0</v>
      </c>
      <c r="N16" s="18" t="s">
        <v>43</v>
      </c>
    </row>
    <row r="17" spans="1:14" x14ac:dyDescent="0.2">
      <c r="A17" s="26"/>
      <c r="B17" s="3" t="s">
        <v>60</v>
      </c>
      <c r="C17" t="s">
        <v>19</v>
      </c>
      <c r="D17" s="4">
        <v>3</v>
      </c>
      <c r="E17" s="4"/>
      <c r="F17" s="4">
        <f>Janvier[[#This Row],[TPS Période(h)]]+Décembre[[#This Row],[TPS Cumul (h)]]</f>
        <v>2</v>
      </c>
      <c r="G17" s="4">
        <f>MAX(Janvier[[#This Row],[CI (h)]]-Janvier[[#This Row],[TPS Cumul (h)]], 0)</f>
        <v>1</v>
      </c>
      <c r="H17" s="4">
        <f>Janvier[[#This Row],[TPS Cumul (h)]]+Janvier[[#This Row],[RPS (h)]]</f>
        <v>3</v>
      </c>
      <c r="I17" s="4">
        <f>Janvier[[#This Row],[CI (h)]]-Janvier[[#This Row],[CR (h)]]</f>
        <v>0</v>
      </c>
      <c r="J17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17" s="4">
        <f>Janvier[[#This Row],[CI (h)]]*Janvier[[#This Row],[PRU (€)]]</f>
        <v>96</v>
      </c>
      <c r="L17" s="4">
        <f>Janvier[[#This Row],[CR (h)]]*Janvier[[#This Row],[PRU (€)]]</f>
        <v>96</v>
      </c>
      <c r="M17" s="16">
        <f>Janvier[[#This Row],[PRU (€)]]*Janvier[[#This Row],[TPS Cumul (h)]]</f>
        <v>64</v>
      </c>
      <c r="N17" s="18" t="s">
        <v>43</v>
      </c>
    </row>
    <row r="18" spans="1:14" x14ac:dyDescent="0.2">
      <c r="A18" s="35" t="s">
        <v>31</v>
      </c>
      <c r="B18" s="3" t="s">
        <v>61</v>
      </c>
      <c r="C18" t="s">
        <v>19</v>
      </c>
      <c r="D18" s="4">
        <v>10</v>
      </c>
      <c r="E18" s="4"/>
      <c r="F18" s="4">
        <f>Janvier[[#This Row],[TPS Période(h)]]+Décembre[[#This Row],[TPS Cumul (h)]]</f>
        <v>0</v>
      </c>
      <c r="G18" s="4">
        <f>MAX(Janvier[[#This Row],[CI (h)]]-Janvier[[#This Row],[TPS Cumul (h)]], 0)</f>
        <v>10</v>
      </c>
      <c r="H18" s="4">
        <f>Janvier[[#This Row],[TPS Cumul (h)]]+Janvier[[#This Row],[RPS (h)]]</f>
        <v>10</v>
      </c>
      <c r="I18" s="4">
        <f>Janvier[[#This Row],[CI (h)]]-Janvier[[#This Row],[CR (h)]]</f>
        <v>0</v>
      </c>
      <c r="J18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18" s="4">
        <f>Janvier[[#This Row],[CI (h)]]*Janvier[[#This Row],[PRU (€)]]</f>
        <v>320</v>
      </c>
      <c r="L18" s="4">
        <f>Janvier[[#This Row],[CR (h)]]*Janvier[[#This Row],[PRU (€)]]</f>
        <v>320</v>
      </c>
      <c r="M18" s="16">
        <f>Janvier[[#This Row],[PRU (€)]]*Janvier[[#This Row],[TPS Cumul (h)]]</f>
        <v>0</v>
      </c>
      <c r="N18" s="18" t="s">
        <v>43</v>
      </c>
    </row>
    <row r="19" spans="1:14" x14ac:dyDescent="0.2">
      <c r="A19" s="36"/>
      <c r="B19" s="3" t="s">
        <v>62</v>
      </c>
      <c r="C19" t="s">
        <v>19</v>
      </c>
      <c r="D19" s="4">
        <v>10</v>
      </c>
      <c r="E19" s="4"/>
      <c r="F19" s="4">
        <f>Janvier[[#This Row],[TPS Période(h)]]+Décembre[[#This Row],[TPS Cumul (h)]]</f>
        <v>0</v>
      </c>
      <c r="G19" s="4">
        <f>MAX(Janvier[[#This Row],[CI (h)]]-Janvier[[#This Row],[TPS Cumul (h)]], 0)</f>
        <v>10</v>
      </c>
      <c r="H19" s="4">
        <f>Janvier[[#This Row],[TPS Cumul (h)]]+Janvier[[#This Row],[RPS (h)]]</f>
        <v>10</v>
      </c>
      <c r="I19" s="4">
        <f>Janvier[[#This Row],[CI (h)]]-Janvier[[#This Row],[CR (h)]]</f>
        <v>0</v>
      </c>
      <c r="J19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19" s="4">
        <f>Janvier[[#This Row],[CI (h)]]*Janvier[[#This Row],[PRU (€)]]</f>
        <v>320</v>
      </c>
      <c r="L19" s="4">
        <f>Janvier[[#This Row],[CR (h)]]*Janvier[[#This Row],[PRU (€)]]</f>
        <v>320</v>
      </c>
      <c r="M19" s="16">
        <f>Janvier[[#This Row],[PRU (€)]]*Janvier[[#This Row],[TPS Cumul (h)]]</f>
        <v>0</v>
      </c>
      <c r="N19" s="18" t="s">
        <v>43</v>
      </c>
    </row>
    <row r="20" spans="1:14" x14ac:dyDescent="0.2">
      <c r="A20" s="36"/>
      <c r="B20" s="3" t="s">
        <v>63</v>
      </c>
      <c r="C20" t="s">
        <v>19</v>
      </c>
      <c r="D20" s="4">
        <v>5</v>
      </c>
      <c r="E20" s="4"/>
      <c r="F20" s="4">
        <f>Janvier[[#This Row],[TPS Période(h)]]+Décembre[[#This Row],[TPS Cumul (h)]]</f>
        <v>0</v>
      </c>
      <c r="G20" s="4">
        <f>MAX(Janvier[[#This Row],[CI (h)]]-Janvier[[#This Row],[TPS Cumul (h)]], 0)</f>
        <v>5</v>
      </c>
      <c r="H20" s="4">
        <f>Janvier[[#This Row],[TPS Cumul (h)]]+Janvier[[#This Row],[RPS (h)]]</f>
        <v>5</v>
      </c>
      <c r="I20" s="4">
        <f>Janvier[[#This Row],[CI (h)]]-Janvier[[#This Row],[CR (h)]]</f>
        <v>0</v>
      </c>
      <c r="J20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20" s="4">
        <f>Janvier[[#This Row],[CI (h)]]*Janvier[[#This Row],[PRU (€)]]</f>
        <v>160</v>
      </c>
      <c r="L20" s="4">
        <f>Janvier[[#This Row],[CR (h)]]*Janvier[[#This Row],[PRU (€)]]</f>
        <v>160</v>
      </c>
      <c r="M20" s="16">
        <f>Janvier[[#This Row],[PRU (€)]]*Janvier[[#This Row],[TPS Cumul (h)]]</f>
        <v>0</v>
      </c>
      <c r="N20" s="18" t="s">
        <v>43</v>
      </c>
    </row>
    <row r="21" spans="1:14" x14ac:dyDescent="0.2">
      <c r="A21" s="36"/>
      <c r="B21" s="3" t="s">
        <v>64</v>
      </c>
      <c r="C21" t="s">
        <v>19</v>
      </c>
      <c r="D21" s="4">
        <v>3</v>
      </c>
      <c r="E21" s="4"/>
      <c r="F21" s="4">
        <f>Janvier[[#This Row],[TPS Période(h)]]+Décembre[[#This Row],[TPS Cumul (h)]]</f>
        <v>0</v>
      </c>
      <c r="G21" s="4">
        <f>MAX(Janvier[[#This Row],[CI (h)]]-Janvier[[#This Row],[TPS Cumul (h)]], 0)</f>
        <v>3</v>
      </c>
      <c r="H21" s="4">
        <f>Janvier[[#This Row],[TPS Cumul (h)]]+Janvier[[#This Row],[RPS (h)]]</f>
        <v>3</v>
      </c>
      <c r="I21" s="4">
        <f>Janvier[[#This Row],[CI (h)]]-Janvier[[#This Row],[CR (h)]]</f>
        <v>0</v>
      </c>
      <c r="J21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21" s="4">
        <f>Janvier[[#This Row],[CI (h)]]*Janvier[[#This Row],[PRU (€)]]</f>
        <v>96</v>
      </c>
      <c r="L21" s="4">
        <f>Janvier[[#This Row],[CR (h)]]*Janvier[[#This Row],[PRU (€)]]</f>
        <v>96</v>
      </c>
      <c r="M21" s="16">
        <f>Janvier[[#This Row],[PRU (€)]]*Janvier[[#This Row],[TPS Cumul (h)]]</f>
        <v>0</v>
      </c>
      <c r="N21" s="18" t="s">
        <v>43</v>
      </c>
    </row>
    <row r="22" spans="1:14" x14ac:dyDescent="0.2">
      <c r="A22" s="36"/>
      <c r="B22" s="3" t="s">
        <v>72</v>
      </c>
      <c r="C22" t="s">
        <v>19</v>
      </c>
      <c r="D22" s="4">
        <v>7</v>
      </c>
      <c r="E22" s="4"/>
      <c r="F22" s="4">
        <f>Janvier[[#This Row],[TPS Période(h)]]+Décembre[[#This Row],[TPS Cumul (h)]]</f>
        <v>0</v>
      </c>
      <c r="G22" s="4">
        <f>MAX(Janvier[[#This Row],[CI (h)]]-Janvier[[#This Row],[TPS Cumul (h)]], 0)</f>
        <v>7</v>
      </c>
      <c r="H22" s="4">
        <f>Janvier[[#This Row],[TPS Cumul (h)]]+Janvier[[#This Row],[RPS (h)]]</f>
        <v>7</v>
      </c>
      <c r="I22" s="4">
        <f>Janvier[[#This Row],[CI (h)]]-Janvier[[#This Row],[CR (h)]]</f>
        <v>0</v>
      </c>
      <c r="J22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22" s="4">
        <f>Janvier[[#This Row],[CI (h)]]*Janvier[[#This Row],[PRU (€)]]</f>
        <v>224</v>
      </c>
      <c r="L22" s="4">
        <f>Janvier[[#This Row],[CR (h)]]*Janvier[[#This Row],[PRU (€)]]</f>
        <v>224</v>
      </c>
      <c r="M22" s="16">
        <f>Janvier[[#This Row],[PRU (€)]]*Janvier[[#This Row],[TPS Cumul (h)]]</f>
        <v>0</v>
      </c>
      <c r="N22" s="18" t="s">
        <v>43</v>
      </c>
    </row>
    <row r="23" spans="1:14" x14ac:dyDescent="0.2">
      <c r="A23" s="25" t="s">
        <v>32</v>
      </c>
      <c r="B23" s="3" t="s">
        <v>65</v>
      </c>
      <c r="C23" t="s">
        <v>19</v>
      </c>
      <c r="D23" s="4">
        <v>7</v>
      </c>
      <c r="E23" s="4"/>
      <c r="F23" s="4">
        <f>Janvier[[#This Row],[TPS Période(h)]]+Décembre[[#This Row],[TPS Cumul (h)]]</f>
        <v>0</v>
      </c>
      <c r="G23" s="4">
        <f>MAX(Janvier[[#This Row],[CI (h)]]-Janvier[[#This Row],[TPS Cumul (h)]], 0)</f>
        <v>7</v>
      </c>
      <c r="H23" s="4">
        <f>Janvier[[#This Row],[TPS Cumul (h)]]+Janvier[[#This Row],[RPS (h)]]</f>
        <v>7</v>
      </c>
      <c r="I23" s="4">
        <f>Janvier[[#This Row],[CI (h)]]-Janvier[[#This Row],[CR (h)]]</f>
        <v>0</v>
      </c>
      <c r="J23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23" s="4">
        <f>Janvier[[#This Row],[CI (h)]]*Janvier[[#This Row],[PRU (€)]]</f>
        <v>224</v>
      </c>
      <c r="L23" s="4">
        <f>Janvier[[#This Row],[CR (h)]]*Janvier[[#This Row],[PRU (€)]]</f>
        <v>224</v>
      </c>
      <c r="M23" s="16">
        <f>Janvier[[#This Row],[PRU (€)]]*Janvier[[#This Row],[TPS Cumul (h)]]</f>
        <v>0</v>
      </c>
      <c r="N23" s="18" t="s">
        <v>43</v>
      </c>
    </row>
    <row r="24" spans="1:14" x14ac:dyDescent="0.2">
      <c r="A24" s="25"/>
      <c r="B24" s="3" t="s">
        <v>66</v>
      </c>
      <c r="C24" t="s">
        <v>19</v>
      </c>
      <c r="D24" s="4">
        <v>2</v>
      </c>
      <c r="E24" s="4"/>
      <c r="F24" s="4">
        <f>Janvier[[#This Row],[TPS Période(h)]]+Décembre[[#This Row],[TPS Cumul (h)]]</f>
        <v>0</v>
      </c>
      <c r="G24" s="4">
        <f>MAX(Janvier[[#This Row],[CI (h)]]-Janvier[[#This Row],[TPS Cumul (h)]], 0)</f>
        <v>2</v>
      </c>
      <c r="H24" s="4">
        <f>Janvier[[#This Row],[TPS Cumul (h)]]+Janvier[[#This Row],[RPS (h)]]</f>
        <v>2</v>
      </c>
      <c r="I24" s="4">
        <f>Janvier[[#This Row],[CI (h)]]-Janvier[[#This Row],[CR (h)]]</f>
        <v>0</v>
      </c>
      <c r="J24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24" s="4">
        <f>Janvier[[#This Row],[CI (h)]]*Janvier[[#This Row],[PRU (€)]]</f>
        <v>64</v>
      </c>
      <c r="L24" s="4">
        <f>Janvier[[#This Row],[CR (h)]]*Janvier[[#This Row],[PRU (€)]]</f>
        <v>64</v>
      </c>
      <c r="M24" s="16">
        <f>Janvier[[#This Row],[PRU (€)]]*Janvier[[#This Row],[TPS Cumul (h)]]</f>
        <v>0</v>
      </c>
      <c r="N24" s="18" t="s">
        <v>43</v>
      </c>
    </row>
    <row r="25" spans="1:14" x14ac:dyDescent="0.2">
      <c r="A25" s="37" t="s">
        <v>33</v>
      </c>
      <c r="B25" s="3" t="s">
        <v>67</v>
      </c>
      <c r="C25" t="s">
        <v>19</v>
      </c>
      <c r="D25" s="4">
        <v>2</v>
      </c>
      <c r="E25" s="4"/>
      <c r="F25" s="4">
        <f>Janvier[[#This Row],[TPS Période(h)]]+Décembre[[#This Row],[TPS Cumul (h)]]</f>
        <v>0</v>
      </c>
      <c r="G25" s="4">
        <f>MAX(Janvier[[#This Row],[CI (h)]]-Janvier[[#This Row],[TPS Cumul (h)]], 0)</f>
        <v>2</v>
      </c>
      <c r="H25" s="4">
        <f>Janvier[[#This Row],[TPS Cumul (h)]]+Janvier[[#This Row],[RPS (h)]]</f>
        <v>2</v>
      </c>
      <c r="I25" s="4">
        <f>Janvier[[#This Row],[CI (h)]]-Janvier[[#This Row],[CR (h)]]</f>
        <v>0</v>
      </c>
      <c r="J25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25" s="4">
        <f>Janvier[[#This Row],[CI (h)]]*Janvier[[#This Row],[PRU (€)]]</f>
        <v>64</v>
      </c>
      <c r="L25" s="4">
        <f>Janvier[[#This Row],[CR (h)]]*Janvier[[#This Row],[PRU (€)]]</f>
        <v>64</v>
      </c>
      <c r="M25" s="16">
        <f>Janvier[[#This Row],[PRU (€)]]*Janvier[[#This Row],[TPS Cumul (h)]]</f>
        <v>0</v>
      </c>
      <c r="N25" s="18" t="s">
        <v>43</v>
      </c>
    </row>
    <row r="26" spans="1:14" x14ac:dyDescent="0.2">
      <c r="A26" s="38"/>
      <c r="B26" s="3" t="s">
        <v>68</v>
      </c>
      <c r="C26" t="s">
        <v>19</v>
      </c>
      <c r="D26" s="4">
        <v>2</v>
      </c>
      <c r="E26" s="4"/>
      <c r="F26" s="4">
        <f>Janvier[[#This Row],[TPS Période(h)]]+Décembre[[#This Row],[TPS Cumul (h)]]</f>
        <v>0</v>
      </c>
      <c r="G26" s="4">
        <f>MAX(Janvier[[#This Row],[CI (h)]]-Janvier[[#This Row],[TPS Cumul (h)]], 0)</f>
        <v>2</v>
      </c>
      <c r="H26" s="4">
        <f>Janvier[[#This Row],[TPS Cumul (h)]]+Janvier[[#This Row],[RPS (h)]]</f>
        <v>2</v>
      </c>
      <c r="I26" s="4">
        <f>Janvier[[#This Row],[CI (h)]]-Janvier[[#This Row],[CR (h)]]</f>
        <v>0</v>
      </c>
      <c r="J26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26" s="4">
        <f>Janvier[[#This Row],[CI (h)]]*Janvier[[#This Row],[PRU (€)]]</f>
        <v>64</v>
      </c>
      <c r="L26" s="4">
        <f>Janvier[[#This Row],[CR (h)]]*Janvier[[#This Row],[PRU (€)]]</f>
        <v>64</v>
      </c>
      <c r="M26" s="16">
        <f>Janvier[[#This Row],[PRU (€)]]*Janvier[[#This Row],[TPS Cumul (h)]]</f>
        <v>0</v>
      </c>
      <c r="N26" s="18" t="s">
        <v>43</v>
      </c>
    </row>
    <row r="27" spans="1:14" x14ac:dyDescent="0.2">
      <c r="A27" s="22" t="s">
        <v>34</v>
      </c>
      <c r="B27" s="8" t="s">
        <v>69</v>
      </c>
      <c r="C27" t="s">
        <v>19</v>
      </c>
      <c r="D27" s="4">
        <v>10</v>
      </c>
      <c r="E27" s="4"/>
      <c r="F27" s="4">
        <f>Janvier[[#This Row],[TPS Période(h)]]+Décembre[[#This Row],[TPS Cumul (h)]]</f>
        <v>0</v>
      </c>
      <c r="G27" s="4">
        <f>MAX(Janvier[[#This Row],[CI (h)]]-Janvier[[#This Row],[TPS Cumul (h)]], 0)</f>
        <v>10</v>
      </c>
      <c r="H27" s="4">
        <f>Janvier[[#This Row],[TPS Cumul (h)]]+Janvier[[#This Row],[RPS (h)]]</f>
        <v>10</v>
      </c>
      <c r="I27" s="4">
        <f>Janvier[[#This Row],[CI (h)]]-Janvier[[#This Row],[CR (h)]]</f>
        <v>0</v>
      </c>
      <c r="J27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27" s="4">
        <f>Janvier[[#This Row],[CI (h)]]*Janvier[[#This Row],[PRU (€)]]</f>
        <v>320</v>
      </c>
      <c r="L27" s="4">
        <f>Janvier[[#This Row],[CR (h)]]*Janvier[[#This Row],[PRU (€)]]</f>
        <v>320</v>
      </c>
      <c r="M27" s="16">
        <f>Janvier[[#This Row],[PRU (€)]]*Janvier[[#This Row],[TPS Cumul (h)]]</f>
        <v>0</v>
      </c>
      <c r="N27" s="18" t="s">
        <v>43</v>
      </c>
    </row>
    <row r="28" spans="1:14" x14ac:dyDescent="0.2">
      <c r="A28" s="22"/>
      <c r="B28" s="8" t="s">
        <v>71</v>
      </c>
      <c r="C28" t="s">
        <v>19</v>
      </c>
      <c r="D28" s="4">
        <v>2</v>
      </c>
      <c r="E28" s="4"/>
      <c r="F28" s="4">
        <f>Janvier[[#This Row],[TPS Période(h)]]+Décembre[[#This Row],[TPS Cumul (h)]]</f>
        <v>0</v>
      </c>
      <c r="G28" s="4">
        <f>MAX(Janvier[[#This Row],[CI (h)]]-Janvier[[#This Row],[TPS Cumul (h)]], 0)</f>
        <v>2</v>
      </c>
      <c r="H28" s="4">
        <f>Janvier[[#This Row],[TPS Cumul (h)]]+Janvier[[#This Row],[RPS (h)]]</f>
        <v>2</v>
      </c>
      <c r="I28" s="4">
        <f>Janvier[[#This Row],[CI (h)]]-Janvier[[#This Row],[CR (h)]]</f>
        <v>0</v>
      </c>
      <c r="J28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28" s="4">
        <f>Janvier[[#This Row],[CI (h)]]*Janvier[[#This Row],[PRU (€)]]</f>
        <v>64</v>
      </c>
      <c r="L28" s="4">
        <f>Janvier[[#This Row],[CR (h)]]*Janvier[[#This Row],[PRU (€)]]</f>
        <v>64</v>
      </c>
      <c r="M28" s="16">
        <f>Janvier[[#This Row],[PRU (€)]]*Janvier[[#This Row],[TPS Cumul (h)]]</f>
        <v>0</v>
      </c>
      <c r="N28" s="18" t="s">
        <v>43</v>
      </c>
    </row>
    <row r="29" spans="1:14" x14ac:dyDescent="0.2">
      <c r="A29" s="32" t="s">
        <v>35</v>
      </c>
      <c r="B29" s="3" t="s">
        <v>70</v>
      </c>
      <c r="C29" t="s">
        <v>19</v>
      </c>
      <c r="D29" s="4">
        <v>3</v>
      </c>
      <c r="E29" s="4"/>
      <c r="F29" s="4">
        <f>Janvier[[#This Row],[TPS Période(h)]]+Décembre[[#This Row],[TPS Cumul (h)]]</f>
        <v>0</v>
      </c>
      <c r="G29" s="4">
        <f>MAX(Janvier[[#This Row],[CI (h)]]-Janvier[[#This Row],[TPS Cumul (h)]], 0)</f>
        <v>3</v>
      </c>
      <c r="H29" s="4">
        <f>Janvier[[#This Row],[TPS Cumul (h)]]+Janvier[[#This Row],[RPS (h)]]</f>
        <v>3</v>
      </c>
      <c r="I29" s="4">
        <f>Janvier[[#This Row],[CI (h)]]-Janvier[[#This Row],[CR (h)]]</f>
        <v>0</v>
      </c>
      <c r="J29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29" s="4">
        <f>Janvier[[#This Row],[CI (h)]]*Janvier[[#This Row],[PRU (€)]]</f>
        <v>96</v>
      </c>
      <c r="L29" s="4">
        <f>Janvier[[#This Row],[CR (h)]]*Janvier[[#This Row],[PRU (€)]]</f>
        <v>96</v>
      </c>
      <c r="M29" s="16">
        <f>Janvier[[#This Row],[PRU (€)]]*Janvier[[#This Row],[TPS Cumul (h)]]</f>
        <v>0</v>
      </c>
      <c r="N29" s="18" t="s">
        <v>43</v>
      </c>
    </row>
    <row r="30" spans="1:14" x14ac:dyDescent="0.2">
      <c r="A30" s="26"/>
      <c r="B30" s="3" t="s">
        <v>73</v>
      </c>
      <c r="C30" t="s">
        <v>19</v>
      </c>
      <c r="D30" s="4">
        <v>0</v>
      </c>
      <c r="E30" s="4"/>
      <c r="F30" s="4">
        <f>Janvier[[#This Row],[TPS Période(h)]]+Décembre[[#This Row],[TPS Cumul (h)]]</f>
        <v>0</v>
      </c>
      <c r="G30" s="4">
        <f>MAX(Janvier[[#This Row],[CI (h)]]-Janvier[[#This Row],[TPS Cumul (h)]], 0)</f>
        <v>0</v>
      </c>
      <c r="H30" s="4">
        <f>Janvier[[#This Row],[TPS Cumul (h)]]+Janvier[[#This Row],[RPS (h)]]</f>
        <v>0</v>
      </c>
      <c r="I30" s="4">
        <f>Janvier[[#This Row],[CI (h)]]-Janvier[[#This Row],[CR (h)]]</f>
        <v>0</v>
      </c>
      <c r="J30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30" s="4">
        <f>Janvier[[#This Row],[CI (h)]]*Janvier[[#This Row],[PRU (€)]]</f>
        <v>0</v>
      </c>
      <c r="L30" s="4">
        <f>Janvier[[#This Row],[CR (h)]]*Janvier[[#This Row],[PRU (€)]]</f>
        <v>0</v>
      </c>
      <c r="M30" s="16">
        <f>Janvier[[#This Row],[PRU (€)]]*Janvier[[#This Row],[TPS Cumul (h)]]</f>
        <v>0</v>
      </c>
      <c r="N30" s="18" t="s">
        <v>43</v>
      </c>
    </row>
    <row r="31" spans="1:14" x14ac:dyDescent="0.2">
      <c r="A31" s="26"/>
      <c r="B31" s="3" t="s">
        <v>74</v>
      </c>
      <c r="C31" t="s">
        <v>19</v>
      </c>
      <c r="D31" s="4">
        <v>0</v>
      </c>
      <c r="E31" s="4">
        <v>0</v>
      </c>
      <c r="F31" s="4">
        <f>Janvier[[#This Row],[TPS Période(h)]]+Décembre[[#This Row],[TPS Cumul (h)]]</f>
        <v>0</v>
      </c>
      <c r="G31" s="4">
        <f>MAX(Janvier[[#This Row],[CI (h)]]-Janvier[[#This Row],[TPS Cumul (h)]], 0)</f>
        <v>0</v>
      </c>
      <c r="H31" s="4">
        <f>Janvier[[#This Row],[TPS Cumul (h)]]+Janvier[[#This Row],[RPS (h)]]</f>
        <v>0</v>
      </c>
      <c r="I31" s="4">
        <f>Janvier[[#This Row],[CI (h)]]-Janvier[[#This Row],[CR (h)]]</f>
        <v>0</v>
      </c>
      <c r="J31" s="4" t="str">
        <f>IF(Janvier[[#This Row],[Qui]]="Chef de projet","32",IF(Janvier[[#This Row],[Qui]]="Ingénieur Electronique","32",IF(Janvier[[#This Row],[Qui]]="Ingénieur qualité","36",IF(Janvier[[#This Row],[Qui]]="Ingénieur Développement",30,IF(Janvier[[#This Row],[Qui]]="Ingénieur Mécanique",34,"")))))</f>
        <v>32</v>
      </c>
      <c r="K31" s="4">
        <f>Janvier[[#This Row],[CI (h)]]*Janvier[[#This Row],[PRU (€)]]</f>
        <v>0</v>
      </c>
      <c r="L31" s="4">
        <f>Janvier[[#This Row],[CR (h)]]*Janvier[[#This Row],[PRU (€)]]</f>
        <v>0</v>
      </c>
      <c r="M31" s="16">
        <f>Janvier[[#This Row],[PRU (€)]]*Janvier[[#This Row],[TPS Cumul (h)]]</f>
        <v>0</v>
      </c>
      <c r="N31" s="18" t="s">
        <v>43</v>
      </c>
    </row>
    <row r="32" spans="1:14" x14ac:dyDescent="0.2">
      <c r="B32" s="2" t="s">
        <v>21</v>
      </c>
      <c r="C32" s="2"/>
      <c r="D32" s="2">
        <f>SUBTOTAL(109,Janvier[CI (h)])</f>
        <v>120</v>
      </c>
      <c r="E32" s="2">
        <f>SUBTOTAL(109,Janvier[TPS Période(h)])</f>
        <v>0</v>
      </c>
      <c r="F32" s="2">
        <f>SUBTOTAL(109,Janvier[TPS Cumul (h)])</f>
        <v>45</v>
      </c>
      <c r="G32" s="2">
        <f>SUBTOTAL(109,Janvier[RPS (h)])</f>
        <v>93</v>
      </c>
      <c r="H32" s="2">
        <f>SUBTOTAL(109,Janvier[CR (h)])</f>
        <v>138</v>
      </c>
      <c r="I32" s="2">
        <f>SUBTOTAL(109,Janvier[EC (h)])</f>
        <v>-18</v>
      </c>
      <c r="J32" s="2">
        <f>SUBTOTAL(109,Janvier[PRU (€)])</f>
        <v>0</v>
      </c>
      <c r="K32" s="2">
        <f>SUBTOTAL(109,Janvier[Coût Initial (€)])</f>
        <v>3840</v>
      </c>
      <c r="L32" s="1">
        <f>SUBTOTAL(109,Janvier[Coût Révisé (€)])</f>
        <v>4416</v>
      </c>
      <c r="M32" s="1">
        <f>SUBTOTAL(109,Janvier[Coût Réel])</f>
        <v>1440</v>
      </c>
      <c r="N32" s="3"/>
    </row>
    <row r="33" spans="2:14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6" spans="2:14" x14ac:dyDescent="0.2">
      <c r="B36" s="7" t="s">
        <v>23</v>
      </c>
      <c r="C36" s="7" t="s">
        <v>40</v>
      </c>
      <c r="D36" s="7" t="s">
        <v>26</v>
      </c>
      <c r="N36" s="5" t="s">
        <v>41</v>
      </c>
    </row>
    <row r="37" spans="2:14" x14ac:dyDescent="0.2">
      <c r="B37" s="5" t="s">
        <v>24</v>
      </c>
      <c r="C37" s="5">
        <f>SUMIFS(Janvier[CI (h)], Janvier[Qui], "Chef de Projet")</f>
        <v>120</v>
      </c>
      <c r="D37" s="5">
        <v>32</v>
      </c>
      <c r="N37" s="5" t="s">
        <v>42</v>
      </c>
    </row>
    <row r="38" spans="2:14" x14ac:dyDescent="0.2">
      <c r="B38" s="5" t="s">
        <v>21</v>
      </c>
      <c r="C38" s="5">
        <f>SUM(C37:C37)</f>
        <v>120</v>
      </c>
      <c r="D38" s="5"/>
    </row>
  </sheetData>
  <mergeCells count="8">
    <mergeCell ref="A29:A31"/>
    <mergeCell ref="A2:A3"/>
    <mergeCell ref="A4:A9"/>
    <mergeCell ref="A10:A13"/>
    <mergeCell ref="A14:A17"/>
    <mergeCell ref="A18:A22"/>
    <mergeCell ref="A23:A24"/>
    <mergeCell ref="A25:A26"/>
  </mergeCells>
  <conditionalFormatting sqref="B2:B3">
    <cfRule type="expression" dxfId="60" priority="7">
      <formula>$F2&gt;0</formula>
    </cfRule>
  </conditionalFormatting>
  <conditionalFormatting sqref="B4:B9">
    <cfRule type="expression" dxfId="59" priority="10">
      <formula>#REF!&gt;0</formula>
    </cfRule>
  </conditionalFormatting>
  <conditionalFormatting sqref="B6">
    <cfRule type="expression" dxfId="58" priority="11">
      <formula>$F4&gt;0</formula>
    </cfRule>
  </conditionalFormatting>
  <conditionalFormatting sqref="B7:B8">
    <cfRule type="expression" dxfId="57" priority="20">
      <formula>$F12&gt;0</formula>
    </cfRule>
  </conditionalFormatting>
  <conditionalFormatting sqref="B9">
    <cfRule type="expression" dxfId="56" priority="19">
      <formula>$F13&gt;0</formula>
    </cfRule>
  </conditionalFormatting>
  <conditionalFormatting sqref="B11">
    <cfRule type="expression" dxfId="55" priority="14">
      <formula>#REF!&gt;0</formula>
    </cfRule>
  </conditionalFormatting>
  <conditionalFormatting sqref="B12:B13">
    <cfRule type="expression" dxfId="54" priority="13">
      <formula>$F15&gt;0</formula>
    </cfRule>
  </conditionalFormatting>
  <conditionalFormatting sqref="B14:B18">
    <cfRule type="expression" dxfId="53" priority="8">
      <formula>#REF!&gt;0</formula>
    </cfRule>
  </conditionalFormatting>
  <conditionalFormatting sqref="B21:B29">
    <cfRule type="expression" dxfId="52" priority="3">
      <formula>#REF!&gt;0</formula>
    </cfRule>
  </conditionalFormatting>
  <conditionalFormatting sqref="B22 B24:B27 B29">
    <cfRule type="expression" dxfId="51" priority="15">
      <formula>$N22="Oui"</formula>
    </cfRule>
    <cfRule type="expression" dxfId="50" priority="16">
      <formula>$F22&gt;0</formula>
    </cfRule>
  </conditionalFormatting>
  <conditionalFormatting sqref="B22">
    <cfRule type="expression" dxfId="49" priority="17">
      <formula>$N18="Oui"</formula>
    </cfRule>
    <cfRule type="expression" dxfId="48" priority="18">
      <formula>$F18&gt;0</formula>
    </cfRule>
  </conditionalFormatting>
  <conditionalFormatting sqref="B25:B29">
    <cfRule type="expression" dxfId="47" priority="23">
      <formula>#REF!="Oui"</formula>
    </cfRule>
    <cfRule type="expression" dxfId="46" priority="24">
      <formula>#REF!&gt;0</formula>
    </cfRule>
  </conditionalFormatting>
  <conditionalFormatting sqref="B28">
    <cfRule type="expression" dxfId="45" priority="21">
      <formula>#REF!="Oui"</formula>
    </cfRule>
    <cfRule type="expression" dxfId="44" priority="22">
      <formula>#REF!&gt;0</formula>
    </cfRule>
    <cfRule type="expression" dxfId="43" priority="29">
      <formula>$N30="Oui"</formula>
    </cfRule>
    <cfRule type="expression" dxfId="42" priority="30">
      <formula>$F30&gt;0</formula>
    </cfRule>
    <cfRule type="expression" dxfId="41" priority="31">
      <formula>#REF!="Oui"</formula>
    </cfRule>
    <cfRule type="expression" dxfId="40" priority="32">
      <formula>#REF!&gt;0</formula>
    </cfRule>
  </conditionalFormatting>
  <conditionalFormatting sqref="C2:C31">
    <cfRule type="expression" dxfId="39" priority="49">
      <formula>$F2&gt;0</formula>
    </cfRule>
    <cfRule type="expression" dxfId="38" priority="48">
      <formula>$N2="Oui"</formula>
    </cfRule>
  </conditionalFormatting>
  <conditionalFormatting sqref="D2:D31">
    <cfRule type="expression" dxfId="37" priority="1">
      <formula>$F2&gt;0</formula>
    </cfRule>
  </conditionalFormatting>
  <conditionalFormatting sqref="E2:I31 K2:M31">
    <cfRule type="expression" dxfId="36" priority="53">
      <formula>$F2&gt;0</formula>
    </cfRule>
  </conditionalFormatting>
  <conditionalFormatting sqref="E2:M31">
    <cfRule type="expression" dxfId="35" priority="50">
      <formula>$N2="Oui"</formula>
    </cfRule>
  </conditionalFormatting>
  <conditionalFormatting sqref="J2:J31">
    <cfRule type="expression" dxfId="34" priority="51">
      <formula>$F2&gt;0</formula>
    </cfRule>
  </conditionalFormatting>
  <dataValidations count="2">
    <dataValidation type="list" allowBlank="1" showInputMessage="1" showErrorMessage="1" sqref="C2:C31" xr:uid="{94EA8F90-B911-4E25-BB0D-7708449D5A5F}">
      <formula1>$B$37:$B$37</formula1>
    </dataValidation>
    <dataValidation type="list" allowBlank="1" showInputMessage="1" showErrorMessage="1" sqref="N2:N31" xr:uid="{07B17A26-D5ED-4ECF-A47C-3CCCF3DA9AB1}">
      <formula1>$N$37:$N$37</formula1>
    </dataValidation>
  </dataValidations>
  <pageMargins left="0.7" right="0.7" top="0.75" bottom="0.75" header="0.3" footer="0.3"/>
  <ignoredErrors>
    <ignoredError sqref="J2:J31" calculatedColumn="1"/>
  </ignoredErrors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C2FD-3383-4379-AB40-DA38318C7941}">
  <dimension ref="A1:N40"/>
  <sheetViews>
    <sheetView zoomScale="59" zoomScaleNormal="70" workbookViewId="0">
      <selection activeCell="D2" sqref="D2:D31"/>
    </sheetView>
  </sheetViews>
  <sheetFormatPr baseColWidth="10" defaultColWidth="8.5" defaultRowHeight="15" x14ac:dyDescent="0.2"/>
  <cols>
    <col min="1" max="1" width="21.1640625" bestFit="1" customWidth="1"/>
    <col min="2" max="2" width="66.5" bestFit="1" customWidth="1"/>
    <col min="3" max="3" width="16.83203125" bestFit="1" customWidth="1"/>
    <col min="5" max="6" width="17.5" customWidth="1"/>
    <col min="7" max="7" width="10.5" bestFit="1" customWidth="1"/>
    <col min="8" max="8" width="12.83203125" bestFit="1" customWidth="1"/>
    <col min="9" max="9" width="10.83203125" customWidth="1"/>
    <col min="10" max="10" width="9" customWidth="1"/>
    <col min="11" max="11" width="15" bestFit="1" customWidth="1"/>
    <col min="12" max="12" width="15.5" customWidth="1"/>
    <col min="14" max="14" width="15.5" customWidth="1"/>
  </cols>
  <sheetData>
    <row r="1" spans="1:14" x14ac:dyDescent="0.2">
      <c r="A1" s="9" t="s">
        <v>27</v>
      </c>
      <c r="B1" s="11" t="s">
        <v>7</v>
      </c>
      <c r="C1" s="11" t="s">
        <v>8</v>
      </c>
      <c r="D1" s="11" t="s">
        <v>9</v>
      </c>
      <c r="E1" s="11" t="s">
        <v>10</v>
      </c>
      <c r="F1" s="11" t="s">
        <v>11</v>
      </c>
      <c r="G1" s="11" t="s">
        <v>12</v>
      </c>
      <c r="H1" s="11" t="s">
        <v>13</v>
      </c>
      <c r="I1" s="11" t="s">
        <v>14</v>
      </c>
      <c r="J1" s="11" t="s">
        <v>15</v>
      </c>
      <c r="K1" s="12" t="s">
        <v>16</v>
      </c>
      <c r="L1" s="12" t="s">
        <v>17</v>
      </c>
      <c r="M1" s="12" t="s">
        <v>18</v>
      </c>
      <c r="N1" s="17" t="s">
        <v>34</v>
      </c>
    </row>
    <row r="2" spans="1:14" x14ac:dyDescent="0.2">
      <c r="A2" s="25" t="s">
        <v>28</v>
      </c>
      <c r="B2" s="8" t="s">
        <v>45</v>
      </c>
      <c r="C2" t="s">
        <v>24</v>
      </c>
      <c r="D2" s="4">
        <v>1</v>
      </c>
      <c r="E2" s="4">
        <v>0</v>
      </c>
      <c r="F2" s="4">
        <f>Février[[#This Row],[TPS Période(h)]]+Janvier[[#This Row],[TPS Cumul (h)]]</f>
        <v>2</v>
      </c>
      <c r="G2" s="4">
        <f>MAX(Février[[#This Row],[CI (h)]]-Février[[#This Row],[TPS Cumul (h)]], 0)</f>
        <v>0</v>
      </c>
      <c r="H2" s="4">
        <f>Février[[#This Row],[TPS Cumul (h)]]+Février[[#This Row],[RPS (h)]]</f>
        <v>2</v>
      </c>
      <c r="I2" s="4">
        <f>Février[[#This Row],[CI (h)]]-Février[[#This Row],[CR (h)]]</f>
        <v>-1</v>
      </c>
      <c r="J2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2" s="4">
        <f>Février[[#This Row],[CI (h)]]*Février[[#This Row],[PRU (€)]]</f>
        <v>32</v>
      </c>
      <c r="L2" s="4">
        <f>Février[[#This Row],[CR (h)]]*Février[[#This Row],[PRU (€)]]</f>
        <v>64</v>
      </c>
      <c r="M2" s="16">
        <f>Février[[#This Row],[PRU (€)]]*Février[[#This Row],[TPS Cumul (h)]]</f>
        <v>64</v>
      </c>
      <c r="N2" s="3" t="s">
        <v>43</v>
      </c>
    </row>
    <row r="3" spans="1:14" x14ac:dyDescent="0.2">
      <c r="A3" s="34"/>
      <c r="B3" s="8" t="s">
        <v>46</v>
      </c>
      <c r="C3" t="s">
        <v>19</v>
      </c>
      <c r="D3" s="4">
        <v>10</v>
      </c>
      <c r="E3" s="4">
        <v>0</v>
      </c>
      <c r="F3" s="4">
        <f>Février[[#This Row],[TPS Période(h)]]+Janvier[[#This Row],[TPS Cumul (h)]]</f>
        <v>19</v>
      </c>
      <c r="G3" s="4">
        <f>MAX(Février[[#This Row],[CI (h)]]-Février[[#This Row],[TPS Cumul (h)]], 0)</f>
        <v>0</v>
      </c>
      <c r="H3" s="4">
        <f>Février[[#This Row],[TPS Cumul (h)]]+Février[[#This Row],[RPS (h)]]</f>
        <v>19</v>
      </c>
      <c r="I3" s="4">
        <f>Février[[#This Row],[CI (h)]]-Février[[#This Row],[CR (h)]]</f>
        <v>-9</v>
      </c>
      <c r="J3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3" s="4">
        <f>Février[[#This Row],[CI (h)]]*Février[[#This Row],[PRU (€)]]</f>
        <v>320</v>
      </c>
      <c r="L3" s="4">
        <f>Février[[#This Row],[CR (h)]]*Février[[#This Row],[PRU (€)]]</f>
        <v>608</v>
      </c>
      <c r="M3" s="16">
        <f>Février[[#This Row],[PRU (€)]]*Février[[#This Row],[TPS Cumul (h)]]</f>
        <v>608</v>
      </c>
      <c r="N3" s="3" t="s">
        <v>43</v>
      </c>
    </row>
    <row r="4" spans="1:14" x14ac:dyDescent="0.2">
      <c r="A4" s="33" t="s">
        <v>20</v>
      </c>
      <c r="B4" s="8" t="s">
        <v>47</v>
      </c>
      <c r="C4" t="s">
        <v>19</v>
      </c>
      <c r="D4" s="4">
        <v>5</v>
      </c>
      <c r="E4" s="4">
        <v>0</v>
      </c>
      <c r="F4" s="4">
        <f>Février[[#This Row],[TPS Période(h)]]+Janvier[[#This Row],[TPS Cumul (h)]]</f>
        <v>11</v>
      </c>
      <c r="G4" s="4">
        <f>MAX(Février[[#This Row],[CI (h)]]-Février[[#This Row],[TPS Cumul (h)]], 0)</f>
        <v>0</v>
      </c>
      <c r="H4" s="4">
        <f>Février[[#This Row],[TPS Cumul (h)]]+Février[[#This Row],[RPS (h)]]</f>
        <v>11</v>
      </c>
      <c r="I4" s="4">
        <f>Février[[#This Row],[CI (h)]]-Février[[#This Row],[CR (h)]]</f>
        <v>-6</v>
      </c>
      <c r="J4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4" s="4">
        <f>Février[[#This Row],[CI (h)]]*Février[[#This Row],[PRU (€)]]</f>
        <v>160</v>
      </c>
      <c r="L4" s="4">
        <f>Février[[#This Row],[CR (h)]]*Février[[#This Row],[PRU (€)]]</f>
        <v>352</v>
      </c>
      <c r="M4" s="16">
        <f>Février[[#This Row],[PRU (€)]]*Février[[#This Row],[TPS Cumul (h)]]</f>
        <v>352</v>
      </c>
      <c r="N4" s="3" t="s">
        <v>43</v>
      </c>
    </row>
    <row r="5" spans="1:14" x14ac:dyDescent="0.2">
      <c r="A5" s="33"/>
      <c r="B5" s="8" t="s">
        <v>48</v>
      </c>
      <c r="C5" t="s">
        <v>19</v>
      </c>
      <c r="D5" s="4">
        <v>1</v>
      </c>
      <c r="E5" s="4">
        <v>0</v>
      </c>
      <c r="F5" s="4">
        <f>Février[[#This Row],[TPS Période(h)]]+Janvier[[#This Row],[TPS Cumul (h)]]</f>
        <v>0</v>
      </c>
      <c r="G5" s="4">
        <f>MAX(Février[[#This Row],[CI (h)]]-Février[[#This Row],[TPS Cumul (h)]], 0)</f>
        <v>1</v>
      </c>
      <c r="H5" s="4">
        <f>Février[[#This Row],[TPS Cumul (h)]]+Février[[#This Row],[RPS (h)]]</f>
        <v>1</v>
      </c>
      <c r="I5" s="4">
        <f>Février[[#This Row],[CI (h)]]-Février[[#This Row],[CR (h)]]</f>
        <v>0</v>
      </c>
      <c r="J5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5" s="4">
        <f>Février[[#This Row],[CI (h)]]*Février[[#This Row],[PRU (€)]]</f>
        <v>32</v>
      </c>
      <c r="L5" s="4">
        <f>Février[[#This Row],[CR (h)]]*Février[[#This Row],[PRU (€)]]</f>
        <v>32</v>
      </c>
      <c r="M5" s="16">
        <f>Février[[#This Row],[PRU (€)]]*Février[[#This Row],[TPS Cumul (h)]]</f>
        <v>0</v>
      </c>
      <c r="N5" s="3" t="s">
        <v>43</v>
      </c>
    </row>
    <row r="6" spans="1:14" x14ac:dyDescent="0.2">
      <c r="A6" s="21"/>
      <c r="B6" s="8" t="s">
        <v>49</v>
      </c>
      <c r="C6" t="s">
        <v>19</v>
      </c>
      <c r="D6" s="4">
        <v>2</v>
      </c>
      <c r="E6" s="4"/>
      <c r="F6" s="4">
        <f>Février[[#This Row],[TPS Période(h)]]+Janvier[[#This Row],[TPS Cumul (h)]]</f>
        <v>0</v>
      </c>
      <c r="G6" s="4">
        <f>MAX(Février[[#This Row],[CI (h)]]-Février[[#This Row],[TPS Cumul (h)]], 0)</f>
        <v>2</v>
      </c>
      <c r="H6" s="4">
        <f>Février[[#This Row],[TPS Cumul (h)]]+Février[[#This Row],[RPS (h)]]</f>
        <v>2</v>
      </c>
      <c r="I6" s="4">
        <f>Février[[#This Row],[CI (h)]]-Février[[#This Row],[CR (h)]]</f>
        <v>0</v>
      </c>
      <c r="J6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6" s="4">
        <f>Février[[#This Row],[CI (h)]]*Février[[#This Row],[PRU (€)]]</f>
        <v>64</v>
      </c>
      <c r="L6" s="4">
        <f>Février[[#This Row],[CR (h)]]*Février[[#This Row],[PRU (€)]]</f>
        <v>64</v>
      </c>
      <c r="M6" s="4">
        <f>Février[[#This Row],[PRU (€)]]*Février[[#This Row],[TPS Cumul (h)]]</f>
        <v>0</v>
      </c>
      <c r="N6" s="3" t="s">
        <v>43</v>
      </c>
    </row>
    <row r="7" spans="1:14" x14ac:dyDescent="0.2">
      <c r="A7" s="21"/>
      <c r="B7" s="8" t="s">
        <v>50</v>
      </c>
      <c r="C7" t="s">
        <v>19</v>
      </c>
      <c r="D7" s="4">
        <v>2</v>
      </c>
      <c r="E7" s="4"/>
      <c r="F7" s="4">
        <f>Février[[#This Row],[TPS Période(h)]]+Janvier[[#This Row],[TPS Cumul (h)]]</f>
        <v>1</v>
      </c>
      <c r="G7" s="4">
        <f>MAX(Février[[#This Row],[CI (h)]]-Février[[#This Row],[TPS Cumul (h)]], 0)</f>
        <v>1</v>
      </c>
      <c r="H7" s="4">
        <f>Février[[#This Row],[TPS Cumul (h)]]+Février[[#This Row],[RPS (h)]]</f>
        <v>2</v>
      </c>
      <c r="I7" s="4">
        <f>Février[[#This Row],[CI (h)]]-Février[[#This Row],[CR (h)]]</f>
        <v>0</v>
      </c>
      <c r="J7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7" s="4">
        <f>Février[[#This Row],[CI (h)]]*Février[[#This Row],[PRU (€)]]</f>
        <v>64</v>
      </c>
      <c r="L7" s="4">
        <f>Février[[#This Row],[CR (h)]]*Février[[#This Row],[PRU (€)]]</f>
        <v>64</v>
      </c>
      <c r="M7" s="4">
        <f>Février[[#This Row],[PRU (€)]]*Février[[#This Row],[TPS Cumul (h)]]</f>
        <v>32</v>
      </c>
      <c r="N7" s="3" t="s">
        <v>43</v>
      </c>
    </row>
    <row r="8" spans="1:14" x14ac:dyDescent="0.2">
      <c r="A8" s="21"/>
      <c r="B8" s="8" t="s">
        <v>51</v>
      </c>
      <c r="C8" t="s">
        <v>19</v>
      </c>
      <c r="D8" s="4">
        <v>2</v>
      </c>
      <c r="E8" s="4"/>
      <c r="F8" s="4">
        <f>Février[[#This Row],[TPS Période(h)]]+Janvier[[#This Row],[TPS Cumul (h)]]</f>
        <v>1</v>
      </c>
      <c r="G8" s="4">
        <f>MAX(Février[[#This Row],[CI (h)]]-Février[[#This Row],[TPS Cumul (h)]], 0)</f>
        <v>1</v>
      </c>
      <c r="H8" s="4">
        <f>Février[[#This Row],[TPS Cumul (h)]]+Février[[#This Row],[RPS (h)]]</f>
        <v>2</v>
      </c>
      <c r="I8" s="4">
        <f>Février[[#This Row],[CI (h)]]-Février[[#This Row],[CR (h)]]</f>
        <v>0</v>
      </c>
      <c r="J8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8" s="4">
        <f>Février[[#This Row],[CI (h)]]*Février[[#This Row],[PRU (€)]]</f>
        <v>64</v>
      </c>
      <c r="L8" s="4">
        <f>Février[[#This Row],[CR (h)]]*Février[[#This Row],[PRU (€)]]</f>
        <v>64</v>
      </c>
      <c r="M8" s="4">
        <f>Février[[#This Row],[PRU (€)]]*Février[[#This Row],[TPS Cumul (h)]]</f>
        <v>32</v>
      </c>
      <c r="N8" s="3" t="s">
        <v>43</v>
      </c>
    </row>
    <row r="9" spans="1:14" x14ac:dyDescent="0.2">
      <c r="A9" s="21"/>
      <c r="B9" s="8" t="s">
        <v>52</v>
      </c>
      <c r="C9" t="s">
        <v>19</v>
      </c>
      <c r="D9" s="4">
        <v>2</v>
      </c>
      <c r="E9" s="4"/>
      <c r="F9" s="4">
        <f>Février[[#This Row],[TPS Période(h)]]+Janvier[[#This Row],[TPS Cumul (h)]]</f>
        <v>0</v>
      </c>
      <c r="G9" s="4">
        <f>MAX(Février[[#This Row],[CI (h)]]-Février[[#This Row],[TPS Cumul (h)]], 0)</f>
        <v>2</v>
      </c>
      <c r="H9" s="4">
        <f>Février[[#This Row],[TPS Cumul (h)]]+Février[[#This Row],[RPS (h)]]</f>
        <v>2</v>
      </c>
      <c r="I9" s="4">
        <f>Février[[#This Row],[CI (h)]]-Février[[#This Row],[CR (h)]]</f>
        <v>0</v>
      </c>
      <c r="J9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9" s="4">
        <f>Février[[#This Row],[CI (h)]]*Février[[#This Row],[PRU (€)]]</f>
        <v>64</v>
      </c>
      <c r="L9" s="4">
        <f>Février[[#This Row],[CR (h)]]*Février[[#This Row],[PRU (€)]]</f>
        <v>64</v>
      </c>
      <c r="M9" s="4">
        <f>Février[[#This Row],[PRU (€)]]*Février[[#This Row],[TPS Cumul (h)]]</f>
        <v>0</v>
      </c>
      <c r="N9" s="3" t="s">
        <v>43</v>
      </c>
    </row>
    <row r="10" spans="1:14" x14ac:dyDescent="0.2">
      <c r="A10" s="29" t="s">
        <v>29</v>
      </c>
      <c r="B10" s="3" t="s">
        <v>53</v>
      </c>
      <c r="C10" t="s">
        <v>19</v>
      </c>
      <c r="D10" s="4">
        <v>4</v>
      </c>
      <c r="E10" s="4"/>
      <c r="F10" s="4">
        <f>Février[[#This Row],[TPS Période(h)]]+Janvier[[#This Row],[TPS Cumul (h)]]</f>
        <v>3</v>
      </c>
      <c r="G10" s="4">
        <f>MAX(Février[[#This Row],[CI (h)]]-Février[[#This Row],[TPS Cumul (h)]], 0)</f>
        <v>1</v>
      </c>
      <c r="H10" s="4">
        <f>Février[[#This Row],[TPS Cumul (h)]]+Février[[#This Row],[RPS (h)]]</f>
        <v>4</v>
      </c>
      <c r="I10" s="4">
        <f>Février[[#This Row],[CI (h)]]-Février[[#This Row],[CR (h)]]</f>
        <v>0</v>
      </c>
      <c r="J10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10" s="4">
        <f>Février[[#This Row],[CI (h)]]*Février[[#This Row],[PRU (€)]]</f>
        <v>128</v>
      </c>
      <c r="L10" s="4">
        <f>Février[[#This Row],[CR (h)]]*Février[[#This Row],[PRU (€)]]</f>
        <v>128</v>
      </c>
      <c r="M10" s="16">
        <f>Février[[#This Row],[PRU (€)]]*Février[[#This Row],[TPS Cumul (h)]]</f>
        <v>96</v>
      </c>
      <c r="N10" s="3" t="s">
        <v>43</v>
      </c>
    </row>
    <row r="11" spans="1:14" x14ac:dyDescent="0.2">
      <c r="A11" s="30"/>
      <c r="B11" s="3" t="s">
        <v>54</v>
      </c>
      <c r="C11" t="s">
        <v>19</v>
      </c>
      <c r="D11" s="4">
        <v>4</v>
      </c>
      <c r="E11" s="4"/>
      <c r="F11" s="4">
        <f>Février[[#This Row],[TPS Période(h)]]+Janvier[[#This Row],[TPS Cumul (h)]]</f>
        <v>0</v>
      </c>
      <c r="G11" s="4">
        <f>MAX(Février[[#This Row],[CI (h)]]-Février[[#This Row],[TPS Cumul (h)]], 0)</f>
        <v>4</v>
      </c>
      <c r="H11" s="4">
        <f>Février[[#This Row],[TPS Cumul (h)]]+Février[[#This Row],[RPS (h)]]</f>
        <v>4</v>
      </c>
      <c r="I11" s="4">
        <f>Février[[#This Row],[CI (h)]]-Février[[#This Row],[CR (h)]]</f>
        <v>0</v>
      </c>
      <c r="J11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11" s="4">
        <f>Février[[#This Row],[CI (h)]]*Février[[#This Row],[PRU (€)]]</f>
        <v>128</v>
      </c>
      <c r="L11" s="4">
        <f>Février[[#This Row],[CR (h)]]*Février[[#This Row],[PRU (€)]]</f>
        <v>128</v>
      </c>
      <c r="M11" s="16">
        <f>Février[[#This Row],[PRU (€)]]*Février[[#This Row],[TPS Cumul (h)]]</f>
        <v>0</v>
      </c>
      <c r="N11" s="3" t="s">
        <v>43</v>
      </c>
    </row>
    <row r="12" spans="1:14" x14ac:dyDescent="0.2">
      <c r="A12" s="30"/>
      <c r="B12" s="3" t="s">
        <v>55</v>
      </c>
      <c r="C12" t="s">
        <v>19</v>
      </c>
      <c r="D12" s="4">
        <v>1</v>
      </c>
      <c r="E12" s="4"/>
      <c r="F12" s="4">
        <f>Février[[#This Row],[TPS Période(h)]]+Janvier[[#This Row],[TPS Cumul (h)]]</f>
        <v>3</v>
      </c>
      <c r="G12" s="4">
        <f>MAX(Février[[#This Row],[CI (h)]]-Février[[#This Row],[TPS Cumul (h)]], 0)</f>
        <v>0</v>
      </c>
      <c r="H12" s="4">
        <f>Février[[#This Row],[TPS Cumul (h)]]+Février[[#This Row],[RPS (h)]]</f>
        <v>3</v>
      </c>
      <c r="I12" s="4">
        <f>Février[[#This Row],[CI (h)]]-Février[[#This Row],[CR (h)]]</f>
        <v>-2</v>
      </c>
      <c r="J12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12" s="4">
        <f>Février[[#This Row],[CI (h)]]*Février[[#This Row],[PRU (€)]]</f>
        <v>32</v>
      </c>
      <c r="L12" s="4">
        <f>Février[[#This Row],[CR (h)]]*Février[[#This Row],[PRU (€)]]</f>
        <v>96</v>
      </c>
      <c r="M12" s="16">
        <f>Février[[#This Row],[PRU (€)]]*Février[[#This Row],[TPS Cumul (h)]]</f>
        <v>96</v>
      </c>
      <c r="N12" s="3" t="s">
        <v>43</v>
      </c>
    </row>
    <row r="13" spans="1:14" x14ac:dyDescent="0.2">
      <c r="A13" s="30"/>
      <c r="B13" s="3" t="s">
        <v>56</v>
      </c>
      <c r="C13" t="s">
        <v>19</v>
      </c>
      <c r="D13" s="4">
        <v>2</v>
      </c>
      <c r="E13" s="4"/>
      <c r="F13" s="4">
        <f>Février[[#This Row],[TPS Période(h)]]+Janvier[[#This Row],[TPS Cumul (h)]]</f>
        <v>1</v>
      </c>
      <c r="G13" s="4">
        <f>MAX(Février[[#This Row],[CI (h)]]-Février[[#This Row],[TPS Cumul (h)]], 0)</f>
        <v>1</v>
      </c>
      <c r="H13" s="4">
        <f>Février[[#This Row],[TPS Cumul (h)]]+Février[[#This Row],[RPS (h)]]</f>
        <v>2</v>
      </c>
      <c r="I13" s="4">
        <f>Février[[#This Row],[CI (h)]]-Février[[#This Row],[CR (h)]]</f>
        <v>0</v>
      </c>
      <c r="J13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13" s="4">
        <f>Février[[#This Row],[CI (h)]]*Février[[#This Row],[PRU (€)]]</f>
        <v>64</v>
      </c>
      <c r="L13" s="4">
        <f>Février[[#This Row],[CR (h)]]*Février[[#This Row],[PRU (€)]]</f>
        <v>64</v>
      </c>
      <c r="M13" s="16">
        <f>Février[[#This Row],[PRU (€)]]*Février[[#This Row],[TPS Cumul (h)]]</f>
        <v>32</v>
      </c>
      <c r="N13" s="3" t="s">
        <v>43</v>
      </c>
    </row>
    <row r="14" spans="1:14" x14ac:dyDescent="0.2">
      <c r="A14" s="26" t="s">
        <v>30</v>
      </c>
      <c r="B14" s="3" t="s">
        <v>57</v>
      </c>
      <c r="C14" t="s">
        <v>19</v>
      </c>
      <c r="D14" s="4">
        <v>7</v>
      </c>
      <c r="E14" s="4"/>
      <c r="F14" s="4">
        <f>Février[[#This Row],[TPS Période(h)]]+Janvier[[#This Row],[TPS Cumul (h)]]</f>
        <v>0</v>
      </c>
      <c r="G14" s="4">
        <f>MAX(Février[[#This Row],[CI (h)]]-Février[[#This Row],[TPS Cumul (h)]], 0)</f>
        <v>7</v>
      </c>
      <c r="H14" s="4">
        <f>Février[[#This Row],[TPS Cumul (h)]]+Février[[#This Row],[RPS (h)]]</f>
        <v>7</v>
      </c>
      <c r="I14" s="4">
        <f>Février[[#This Row],[CI (h)]]-Février[[#This Row],[CR (h)]]</f>
        <v>0</v>
      </c>
      <c r="J14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14" s="4">
        <f>Février[[#This Row],[CI (h)]]*Février[[#This Row],[PRU (€)]]</f>
        <v>224</v>
      </c>
      <c r="L14" s="4">
        <f>Février[[#This Row],[CR (h)]]*Février[[#This Row],[PRU (€)]]</f>
        <v>224</v>
      </c>
      <c r="M14" s="16">
        <f>Février[[#This Row],[PRU (€)]]*Février[[#This Row],[TPS Cumul (h)]]</f>
        <v>0</v>
      </c>
      <c r="N14" s="3" t="s">
        <v>43</v>
      </c>
    </row>
    <row r="15" spans="1:14" x14ac:dyDescent="0.2">
      <c r="A15" s="26"/>
      <c r="B15" s="3" t="s">
        <v>58</v>
      </c>
      <c r="C15" t="s">
        <v>19</v>
      </c>
      <c r="D15" s="4">
        <v>7</v>
      </c>
      <c r="E15" s="4"/>
      <c r="F15" s="4">
        <f>Février[[#This Row],[TPS Période(h)]]+Janvier[[#This Row],[TPS Cumul (h)]]</f>
        <v>2</v>
      </c>
      <c r="G15" s="4">
        <f>MAX(Février[[#This Row],[CI (h)]]-Février[[#This Row],[TPS Cumul (h)]], 0)</f>
        <v>5</v>
      </c>
      <c r="H15" s="4">
        <f>Février[[#This Row],[TPS Cumul (h)]]+Février[[#This Row],[RPS (h)]]</f>
        <v>7</v>
      </c>
      <c r="I15" s="4">
        <f>Février[[#This Row],[CI (h)]]-Février[[#This Row],[CR (h)]]</f>
        <v>0</v>
      </c>
      <c r="J15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15" s="4">
        <f>Février[[#This Row],[CI (h)]]*Février[[#This Row],[PRU (€)]]</f>
        <v>224</v>
      </c>
      <c r="L15" s="4">
        <f>Février[[#This Row],[CR (h)]]*Février[[#This Row],[PRU (€)]]</f>
        <v>224</v>
      </c>
      <c r="M15" s="16">
        <f>Février[[#This Row],[PRU (€)]]*Février[[#This Row],[TPS Cumul (h)]]</f>
        <v>64</v>
      </c>
      <c r="N15" s="3" t="s">
        <v>43</v>
      </c>
    </row>
    <row r="16" spans="1:14" x14ac:dyDescent="0.2">
      <c r="A16" s="26"/>
      <c r="B16" s="3" t="s">
        <v>59</v>
      </c>
      <c r="C16" t="s">
        <v>19</v>
      </c>
      <c r="D16" s="19">
        <v>4</v>
      </c>
      <c r="E16" s="19"/>
      <c r="F16" s="19">
        <f>Février[[#This Row],[TPS Période(h)]]+Janvier[[#This Row],[TPS Cumul (h)]]</f>
        <v>0</v>
      </c>
      <c r="G16" s="19">
        <f>MAX(Février[[#This Row],[CI (h)]]-Février[[#This Row],[TPS Cumul (h)]], 0)</f>
        <v>4</v>
      </c>
      <c r="H16" s="19">
        <f>Février[[#This Row],[TPS Cumul (h)]]+Février[[#This Row],[RPS (h)]]</f>
        <v>4</v>
      </c>
      <c r="I16" s="19">
        <f>Février[[#This Row],[CI (h)]]-Février[[#This Row],[CR (h)]]</f>
        <v>0</v>
      </c>
      <c r="J16" s="19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16" s="4">
        <f>Février[[#This Row],[CI (h)]]*Février[[#This Row],[PRU (€)]]</f>
        <v>128</v>
      </c>
      <c r="L16" s="19">
        <f>Février[[#This Row],[CR (h)]]*Février[[#This Row],[PRU (€)]]</f>
        <v>128</v>
      </c>
      <c r="M16" s="19">
        <f>Février[[#This Row],[PRU (€)]]*Février[[#This Row],[TPS Cumul (h)]]</f>
        <v>0</v>
      </c>
      <c r="N16" s="3" t="s">
        <v>43</v>
      </c>
    </row>
    <row r="17" spans="1:14" x14ac:dyDescent="0.2">
      <c r="A17" s="26"/>
      <c r="B17" s="3" t="s">
        <v>60</v>
      </c>
      <c r="C17" t="s">
        <v>19</v>
      </c>
      <c r="D17" s="4">
        <v>3</v>
      </c>
      <c r="E17" s="4"/>
      <c r="F17" s="4">
        <f>Février[[#This Row],[TPS Période(h)]]+Janvier[[#This Row],[TPS Cumul (h)]]</f>
        <v>2</v>
      </c>
      <c r="G17" s="4">
        <f>MAX(Février[[#This Row],[CI (h)]]-Février[[#This Row],[TPS Cumul (h)]], 0)</f>
        <v>1</v>
      </c>
      <c r="H17" s="4">
        <f>Février[[#This Row],[TPS Cumul (h)]]+Février[[#This Row],[RPS (h)]]</f>
        <v>3</v>
      </c>
      <c r="I17" s="4">
        <f>Février[[#This Row],[CI (h)]]-Février[[#This Row],[CR (h)]]</f>
        <v>0</v>
      </c>
      <c r="J17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17" s="4">
        <f>Février[[#This Row],[CI (h)]]*Février[[#This Row],[PRU (€)]]</f>
        <v>96</v>
      </c>
      <c r="L17" s="4">
        <f>Février[[#This Row],[CR (h)]]*Février[[#This Row],[PRU (€)]]</f>
        <v>96</v>
      </c>
      <c r="M17" s="16">
        <f>Février[[#This Row],[PRU (€)]]*Février[[#This Row],[TPS Cumul (h)]]</f>
        <v>64</v>
      </c>
      <c r="N17" s="3" t="s">
        <v>43</v>
      </c>
    </row>
    <row r="18" spans="1:14" x14ac:dyDescent="0.2">
      <c r="A18" s="35" t="s">
        <v>31</v>
      </c>
      <c r="B18" s="3" t="s">
        <v>61</v>
      </c>
      <c r="C18" t="s">
        <v>19</v>
      </c>
      <c r="D18" s="4">
        <v>10</v>
      </c>
      <c r="E18" s="4"/>
      <c r="F18" s="4">
        <f>Février[[#This Row],[TPS Période(h)]]+Janvier[[#This Row],[TPS Cumul (h)]]</f>
        <v>0</v>
      </c>
      <c r="G18" s="4">
        <f>MAX(Février[[#This Row],[CI (h)]]-Février[[#This Row],[TPS Cumul (h)]], 0)</f>
        <v>10</v>
      </c>
      <c r="H18" s="4">
        <f>Février[[#This Row],[TPS Cumul (h)]]+Février[[#This Row],[RPS (h)]]</f>
        <v>10</v>
      </c>
      <c r="I18" s="4">
        <f>Février[[#This Row],[CI (h)]]-Février[[#This Row],[CR (h)]]</f>
        <v>0</v>
      </c>
      <c r="J18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18" s="4">
        <f>Février[[#This Row],[CI (h)]]*Février[[#This Row],[PRU (€)]]</f>
        <v>320</v>
      </c>
      <c r="L18" s="4">
        <f>Février[[#This Row],[CR (h)]]*Février[[#This Row],[PRU (€)]]</f>
        <v>320</v>
      </c>
      <c r="M18" s="16">
        <f>Février[[#This Row],[PRU (€)]]*Février[[#This Row],[TPS Cumul (h)]]</f>
        <v>0</v>
      </c>
      <c r="N18" s="3" t="s">
        <v>43</v>
      </c>
    </row>
    <row r="19" spans="1:14" x14ac:dyDescent="0.2">
      <c r="A19" s="36"/>
      <c r="B19" s="3" t="s">
        <v>62</v>
      </c>
      <c r="C19" t="s">
        <v>19</v>
      </c>
      <c r="D19" s="4">
        <v>10</v>
      </c>
      <c r="E19" s="4"/>
      <c r="F19" s="4">
        <f>Février[[#This Row],[TPS Période(h)]]+Janvier[[#This Row],[TPS Cumul (h)]]</f>
        <v>0</v>
      </c>
      <c r="G19" s="4">
        <f>MAX(Février[[#This Row],[CI (h)]]-Février[[#This Row],[TPS Cumul (h)]], 0)</f>
        <v>10</v>
      </c>
      <c r="H19" s="4">
        <f>Février[[#This Row],[TPS Cumul (h)]]+Février[[#This Row],[RPS (h)]]</f>
        <v>10</v>
      </c>
      <c r="I19" s="4">
        <f>Février[[#This Row],[CI (h)]]-Février[[#This Row],[CR (h)]]</f>
        <v>0</v>
      </c>
      <c r="J19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19" s="4">
        <f>Février[[#This Row],[CI (h)]]*Février[[#This Row],[PRU (€)]]</f>
        <v>320</v>
      </c>
      <c r="L19" s="4">
        <f>Février[[#This Row],[CR (h)]]*Février[[#This Row],[PRU (€)]]</f>
        <v>320</v>
      </c>
      <c r="M19" s="16">
        <f>Février[[#This Row],[PRU (€)]]*Février[[#This Row],[TPS Cumul (h)]]</f>
        <v>0</v>
      </c>
      <c r="N19" s="3" t="s">
        <v>43</v>
      </c>
    </row>
    <row r="20" spans="1:14" x14ac:dyDescent="0.2">
      <c r="A20" s="36"/>
      <c r="B20" s="3" t="s">
        <v>63</v>
      </c>
      <c r="C20" t="s">
        <v>19</v>
      </c>
      <c r="D20" s="4">
        <v>5</v>
      </c>
      <c r="E20" s="4"/>
      <c r="F20" s="4">
        <f>Février[[#This Row],[TPS Période(h)]]+Janvier[[#This Row],[TPS Cumul (h)]]</f>
        <v>0</v>
      </c>
      <c r="G20" s="4">
        <f>MAX(Février[[#This Row],[CI (h)]]-Février[[#This Row],[TPS Cumul (h)]], 0)</f>
        <v>5</v>
      </c>
      <c r="H20" s="4">
        <f>Février[[#This Row],[TPS Cumul (h)]]+Février[[#This Row],[RPS (h)]]</f>
        <v>5</v>
      </c>
      <c r="I20" s="4">
        <f>Février[[#This Row],[CI (h)]]-Février[[#This Row],[CR (h)]]</f>
        <v>0</v>
      </c>
      <c r="J20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20" s="4">
        <f>Février[[#This Row],[CI (h)]]*Février[[#This Row],[PRU (€)]]</f>
        <v>160</v>
      </c>
      <c r="L20" s="4">
        <f>Février[[#This Row],[CR (h)]]*Février[[#This Row],[PRU (€)]]</f>
        <v>160</v>
      </c>
      <c r="M20" s="16">
        <f>Février[[#This Row],[PRU (€)]]*Février[[#This Row],[TPS Cumul (h)]]</f>
        <v>0</v>
      </c>
      <c r="N20" s="3" t="s">
        <v>43</v>
      </c>
    </row>
    <row r="21" spans="1:14" x14ac:dyDescent="0.2">
      <c r="A21" s="36"/>
      <c r="B21" s="3" t="s">
        <v>64</v>
      </c>
      <c r="C21" t="s">
        <v>19</v>
      </c>
      <c r="D21" s="4">
        <v>3</v>
      </c>
      <c r="E21" s="4"/>
      <c r="F21" s="4">
        <f>Février[[#This Row],[TPS Période(h)]]+Janvier[[#This Row],[TPS Cumul (h)]]</f>
        <v>0</v>
      </c>
      <c r="G21" s="4">
        <f>MAX(Février[[#This Row],[CI (h)]]-Février[[#This Row],[TPS Cumul (h)]], 0)</f>
        <v>3</v>
      </c>
      <c r="H21" s="4">
        <f>Février[[#This Row],[TPS Cumul (h)]]+Février[[#This Row],[RPS (h)]]</f>
        <v>3</v>
      </c>
      <c r="I21" s="4">
        <f>Février[[#This Row],[CI (h)]]-Février[[#This Row],[CR (h)]]</f>
        <v>0</v>
      </c>
      <c r="J21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21" s="4">
        <f>Février[[#This Row],[CI (h)]]*Février[[#This Row],[PRU (€)]]</f>
        <v>96</v>
      </c>
      <c r="L21" s="4">
        <f>Février[[#This Row],[CR (h)]]*Février[[#This Row],[PRU (€)]]</f>
        <v>96</v>
      </c>
      <c r="M21" s="16">
        <f>Février[[#This Row],[PRU (€)]]*Février[[#This Row],[TPS Cumul (h)]]</f>
        <v>0</v>
      </c>
      <c r="N21" s="3" t="s">
        <v>43</v>
      </c>
    </row>
    <row r="22" spans="1:14" x14ac:dyDescent="0.2">
      <c r="A22" s="36"/>
      <c r="B22" s="3" t="s">
        <v>72</v>
      </c>
      <c r="C22" t="s">
        <v>19</v>
      </c>
      <c r="D22" s="4">
        <v>7</v>
      </c>
      <c r="E22" s="4"/>
      <c r="F22" s="4">
        <f>Février[[#This Row],[TPS Période(h)]]+Janvier[[#This Row],[TPS Cumul (h)]]</f>
        <v>0</v>
      </c>
      <c r="G22" s="4">
        <f>MAX(Février[[#This Row],[CI (h)]]-Février[[#This Row],[TPS Cumul (h)]], 0)</f>
        <v>7</v>
      </c>
      <c r="H22" s="4">
        <f>Février[[#This Row],[TPS Cumul (h)]]+Février[[#This Row],[RPS (h)]]</f>
        <v>7</v>
      </c>
      <c r="I22" s="4">
        <f>Février[[#This Row],[CI (h)]]-Février[[#This Row],[CR (h)]]</f>
        <v>0</v>
      </c>
      <c r="J22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22" s="4">
        <f>Février[[#This Row],[CI (h)]]*Février[[#This Row],[PRU (€)]]</f>
        <v>224</v>
      </c>
      <c r="L22" s="4">
        <f>Février[[#This Row],[CR (h)]]*Février[[#This Row],[PRU (€)]]</f>
        <v>224</v>
      </c>
      <c r="M22" s="16">
        <f>Février[[#This Row],[PRU (€)]]*Février[[#This Row],[TPS Cumul (h)]]</f>
        <v>0</v>
      </c>
      <c r="N22" s="3" t="s">
        <v>43</v>
      </c>
    </row>
    <row r="23" spans="1:14" x14ac:dyDescent="0.2">
      <c r="A23" s="25" t="s">
        <v>32</v>
      </c>
      <c r="B23" s="3" t="s">
        <v>65</v>
      </c>
      <c r="C23" t="s">
        <v>19</v>
      </c>
      <c r="D23" s="4">
        <v>7</v>
      </c>
      <c r="E23" s="4"/>
      <c r="F23" s="4">
        <f>Février[[#This Row],[TPS Période(h)]]+Janvier[[#This Row],[TPS Cumul (h)]]</f>
        <v>0</v>
      </c>
      <c r="G23" s="4">
        <f>MAX(Février[[#This Row],[CI (h)]]-Février[[#This Row],[TPS Cumul (h)]], 0)</f>
        <v>7</v>
      </c>
      <c r="H23" s="4">
        <f>Février[[#This Row],[TPS Cumul (h)]]+Février[[#This Row],[RPS (h)]]</f>
        <v>7</v>
      </c>
      <c r="I23" s="4">
        <f>Février[[#This Row],[CI (h)]]-Février[[#This Row],[CR (h)]]</f>
        <v>0</v>
      </c>
      <c r="J23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23" s="4">
        <f>Février[[#This Row],[CI (h)]]*Février[[#This Row],[PRU (€)]]</f>
        <v>224</v>
      </c>
      <c r="L23" s="4">
        <f>Février[[#This Row],[CR (h)]]*Février[[#This Row],[PRU (€)]]</f>
        <v>224</v>
      </c>
      <c r="M23" s="16">
        <f>Février[[#This Row],[PRU (€)]]*Février[[#This Row],[TPS Cumul (h)]]</f>
        <v>0</v>
      </c>
      <c r="N23" s="3" t="s">
        <v>43</v>
      </c>
    </row>
    <row r="24" spans="1:14" x14ac:dyDescent="0.2">
      <c r="A24" s="25"/>
      <c r="B24" s="3" t="s">
        <v>66</v>
      </c>
      <c r="C24" t="s">
        <v>19</v>
      </c>
      <c r="D24" s="4">
        <v>2</v>
      </c>
      <c r="E24" s="4"/>
      <c r="F24" s="4">
        <f>Février[[#This Row],[TPS Période(h)]]+Janvier[[#This Row],[TPS Cumul (h)]]</f>
        <v>0</v>
      </c>
      <c r="G24" s="4">
        <f>MAX(Février[[#This Row],[CI (h)]]-Février[[#This Row],[TPS Cumul (h)]], 0)</f>
        <v>2</v>
      </c>
      <c r="H24" s="4">
        <f>Février[[#This Row],[TPS Cumul (h)]]+Février[[#This Row],[RPS (h)]]</f>
        <v>2</v>
      </c>
      <c r="I24" s="4">
        <f>Février[[#This Row],[CI (h)]]-Février[[#This Row],[CR (h)]]</f>
        <v>0</v>
      </c>
      <c r="J24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24" s="4">
        <f>Février[[#This Row],[CI (h)]]*Février[[#This Row],[PRU (€)]]</f>
        <v>64</v>
      </c>
      <c r="L24" s="4">
        <f>Février[[#This Row],[CR (h)]]*Février[[#This Row],[PRU (€)]]</f>
        <v>64</v>
      </c>
      <c r="M24" s="16">
        <f>Février[[#This Row],[PRU (€)]]*Février[[#This Row],[TPS Cumul (h)]]</f>
        <v>0</v>
      </c>
      <c r="N24" s="3" t="s">
        <v>43</v>
      </c>
    </row>
    <row r="25" spans="1:14" x14ac:dyDescent="0.2">
      <c r="A25" s="37" t="s">
        <v>33</v>
      </c>
      <c r="B25" s="3" t="s">
        <v>67</v>
      </c>
      <c r="C25" t="s">
        <v>19</v>
      </c>
      <c r="D25" s="4">
        <v>2</v>
      </c>
      <c r="E25" s="4"/>
      <c r="F25" s="4">
        <f>Février[[#This Row],[TPS Période(h)]]+Janvier[[#This Row],[TPS Cumul (h)]]</f>
        <v>0</v>
      </c>
      <c r="G25" s="4">
        <f>MAX(Février[[#This Row],[CI (h)]]-Février[[#This Row],[TPS Cumul (h)]], 0)</f>
        <v>2</v>
      </c>
      <c r="H25" s="4">
        <f>Février[[#This Row],[TPS Cumul (h)]]+Février[[#This Row],[RPS (h)]]</f>
        <v>2</v>
      </c>
      <c r="I25" s="4">
        <f>Février[[#This Row],[CI (h)]]-Février[[#This Row],[CR (h)]]</f>
        <v>0</v>
      </c>
      <c r="J25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25" s="4">
        <f>Février[[#This Row],[CI (h)]]*Février[[#This Row],[PRU (€)]]</f>
        <v>64</v>
      </c>
      <c r="L25" s="4">
        <f>Février[[#This Row],[CR (h)]]*Février[[#This Row],[PRU (€)]]</f>
        <v>64</v>
      </c>
      <c r="M25" s="16">
        <f>Février[[#This Row],[PRU (€)]]*Février[[#This Row],[TPS Cumul (h)]]</f>
        <v>0</v>
      </c>
      <c r="N25" s="3" t="s">
        <v>43</v>
      </c>
    </row>
    <row r="26" spans="1:14" x14ac:dyDescent="0.2">
      <c r="A26" s="38"/>
      <c r="B26" s="3" t="s">
        <v>68</v>
      </c>
      <c r="C26" t="s">
        <v>19</v>
      </c>
      <c r="D26" s="4">
        <v>2</v>
      </c>
      <c r="E26" s="4"/>
      <c r="F26" s="4">
        <f>Février[[#This Row],[TPS Période(h)]]+Janvier[[#This Row],[TPS Cumul (h)]]</f>
        <v>0</v>
      </c>
      <c r="G26" s="4">
        <f>MAX(Février[[#This Row],[CI (h)]]-Février[[#This Row],[TPS Cumul (h)]], 0)</f>
        <v>2</v>
      </c>
      <c r="H26" s="4">
        <f>Février[[#This Row],[TPS Cumul (h)]]+Février[[#This Row],[RPS (h)]]</f>
        <v>2</v>
      </c>
      <c r="I26" s="4">
        <f>Février[[#This Row],[CI (h)]]-Février[[#This Row],[CR (h)]]</f>
        <v>0</v>
      </c>
      <c r="J26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26" s="4">
        <f>Février[[#This Row],[CI (h)]]*Février[[#This Row],[PRU (€)]]</f>
        <v>64</v>
      </c>
      <c r="L26" s="4">
        <f>Février[[#This Row],[CR (h)]]*Février[[#This Row],[PRU (€)]]</f>
        <v>64</v>
      </c>
      <c r="M26" s="16">
        <f>Février[[#This Row],[PRU (€)]]*Février[[#This Row],[TPS Cumul (h)]]</f>
        <v>0</v>
      </c>
      <c r="N26" s="3" t="s">
        <v>43</v>
      </c>
    </row>
    <row r="27" spans="1:14" x14ac:dyDescent="0.2">
      <c r="A27" s="22" t="s">
        <v>34</v>
      </c>
      <c r="B27" s="8" t="s">
        <v>69</v>
      </c>
      <c r="C27" t="s">
        <v>19</v>
      </c>
      <c r="D27" s="4">
        <v>10</v>
      </c>
      <c r="E27" s="4"/>
      <c r="F27" s="4">
        <f>Février[[#This Row],[TPS Période(h)]]+Janvier[[#This Row],[TPS Cumul (h)]]</f>
        <v>0</v>
      </c>
      <c r="G27" s="4">
        <f>MAX(Février[[#This Row],[CI (h)]]-Février[[#This Row],[TPS Cumul (h)]], 0)</f>
        <v>10</v>
      </c>
      <c r="H27" s="4">
        <f>Février[[#This Row],[TPS Cumul (h)]]+Février[[#This Row],[RPS (h)]]</f>
        <v>10</v>
      </c>
      <c r="I27" s="4">
        <f>Février[[#This Row],[CI (h)]]-Février[[#This Row],[CR (h)]]</f>
        <v>0</v>
      </c>
      <c r="J27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27" s="4">
        <f>Février[[#This Row],[CI (h)]]*Février[[#This Row],[PRU (€)]]</f>
        <v>320</v>
      </c>
      <c r="L27" s="4">
        <f>Février[[#This Row],[CR (h)]]*Février[[#This Row],[PRU (€)]]</f>
        <v>320</v>
      </c>
      <c r="M27" s="16">
        <f>Février[[#This Row],[PRU (€)]]*Février[[#This Row],[TPS Cumul (h)]]</f>
        <v>0</v>
      </c>
      <c r="N27" s="3" t="s">
        <v>43</v>
      </c>
    </row>
    <row r="28" spans="1:14" x14ac:dyDescent="0.2">
      <c r="A28" s="22"/>
      <c r="B28" s="8" t="s">
        <v>71</v>
      </c>
      <c r="C28" t="s">
        <v>19</v>
      </c>
      <c r="D28" s="4">
        <v>2</v>
      </c>
      <c r="E28" s="4"/>
      <c r="F28" s="4">
        <f>Février[[#This Row],[TPS Période(h)]]+Janvier[[#This Row],[TPS Cumul (h)]]</f>
        <v>0</v>
      </c>
      <c r="G28" s="4">
        <f>MAX(Février[[#This Row],[CI (h)]]-Février[[#This Row],[TPS Cumul (h)]], 0)</f>
        <v>2</v>
      </c>
      <c r="H28" s="4">
        <f>Février[[#This Row],[TPS Cumul (h)]]+Février[[#This Row],[RPS (h)]]</f>
        <v>2</v>
      </c>
      <c r="I28" s="4">
        <f>Février[[#This Row],[CI (h)]]-Février[[#This Row],[CR (h)]]</f>
        <v>0</v>
      </c>
      <c r="J28" s="4" t="str">
        <f>IF(Octobre[[#This Row],[Qui]]="Chef de projet","32",IF(Octobre[[#This Row],[Qui]]="Ingénieur Electronique","32",IF(Octobre[[#This Row],[Qui]]="Ingénieur qualité","36",IF(Octobre[[#This Row],[Qui]]="Ingénieur Développement",30,IF(Octobre[[#This Row],[Qui]]="Ingénieur Mécanique",34,"")))))</f>
        <v>32</v>
      </c>
      <c r="K28" s="4">
        <f>Février[[#This Row],[CI (h)]]*Février[[#This Row],[PRU (€)]]</f>
        <v>64</v>
      </c>
      <c r="L28" s="4">
        <f>Février[[#This Row],[CR (h)]]*Février[[#This Row],[PRU (€)]]</f>
        <v>64</v>
      </c>
      <c r="M28" s="4">
        <f>Février[[#This Row],[PRU (€)]]*Février[[#This Row],[TPS Cumul (h)]]</f>
        <v>0</v>
      </c>
      <c r="N28" s="3" t="s">
        <v>43</v>
      </c>
    </row>
    <row r="29" spans="1:14" x14ac:dyDescent="0.2">
      <c r="A29" s="32" t="s">
        <v>35</v>
      </c>
      <c r="B29" s="3" t="s">
        <v>70</v>
      </c>
      <c r="C29" t="s">
        <v>19</v>
      </c>
      <c r="D29" s="4">
        <v>3</v>
      </c>
      <c r="E29" s="4"/>
      <c r="F29" s="4">
        <f>Février[[#This Row],[TPS Période(h)]]+Janvier[[#This Row],[TPS Cumul (h)]]</f>
        <v>0</v>
      </c>
      <c r="G29" s="4">
        <f>MAX(Février[[#This Row],[CI (h)]]-Février[[#This Row],[TPS Cumul (h)]], 0)</f>
        <v>3</v>
      </c>
      <c r="H29" s="4">
        <f>Février[[#This Row],[TPS Cumul (h)]]+Février[[#This Row],[RPS (h)]]</f>
        <v>3</v>
      </c>
      <c r="I29" s="4">
        <f>Février[[#This Row],[CI (h)]]-Février[[#This Row],[CR (h)]]</f>
        <v>0</v>
      </c>
      <c r="J29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29" s="4">
        <f>Février[[#This Row],[CI (h)]]*Février[[#This Row],[PRU (€)]]</f>
        <v>96</v>
      </c>
      <c r="L29" s="4">
        <f>Février[[#This Row],[CR (h)]]*Février[[#This Row],[PRU (€)]]</f>
        <v>96</v>
      </c>
      <c r="M29" s="16">
        <f>Février[[#This Row],[PRU (€)]]*Février[[#This Row],[TPS Cumul (h)]]</f>
        <v>0</v>
      </c>
      <c r="N29" s="3" t="s">
        <v>43</v>
      </c>
    </row>
    <row r="30" spans="1:14" x14ac:dyDescent="0.2">
      <c r="A30" s="26"/>
      <c r="B30" s="3" t="s">
        <v>73</v>
      </c>
      <c r="C30" t="s">
        <v>19</v>
      </c>
      <c r="D30" s="4">
        <v>0</v>
      </c>
      <c r="E30" s="4"/>
      <c r="F30" s="4">
        <f>Février[[#This Row],[TPS Période(h)]]+Janvier[[#This Row],[TPS Cumul (h)]]</f>
        <v>0</v>
      </c>
      <c r="G30" s="4">
        <f>MAX(Février[[#This Row],[CI (h)]]-Février[[#This Row],[TPS Cumul (h)]], 0)</f>
        <v>0</v>
      </c>
      <c r="H30" s="4">
        <f>Février[[#This Row],[TPS Cumul (h)]]+Février[[#This Row],[RPS (h)]]</f>
        <v>0</v>
      </c>
      <c r="I30" s="4">
        <f>Février[[#This Row],[CI (h)]]-Février[[#This Row],[CR (h)]]</f>
        <v>0</v>
      </c>
      <c r="J30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30" s="4">
        <f>Février[[#This Row],[CI (h)]]*Février[[#This Row],[PRU (€)]]</f>
        <v>0</v>
      </c>
      <c r="L30" s="4">
        <f>Février[[#This Row],[CR (h)]]*Février[[#This Row],[PRU (€)]]</f>
        <v>0</v>
      </c>
      <c r="M30" s="16">
        <f>Février[[#This Row],[PRU (€)]]*Février[[#This Row],[TPS Cumul (h)]]</f>
        <v>0</v>
      </c>
      <c r="N30" s="3" t="s">
        <v>43</v>
      </c>
    </row>
    <row r="31" spans="1:14" x14ac:dyDescent="0.2">
      <c r="A31" s="26"/>
      <c r="B31" s="3" t="s">
        <v>74</v>
      </c>
      <c r="C31" t="s">
        <v>19</v>
      </c>
      <c r="D31" s="4">
        <v>0</v>
      </c>
      <c r="E31" s="4"/>
      <c r="F31" s="4">
        <f>Février[[#This Row],[TPS Période(h)]]+Janvier[[#This Row],[TPS Cumul (h)]]</f>
        <v>0</v>
      </c>
      <c r="G31" s="4">
        <f>MAX(Février[[#This Row],[CI (h)]]-Février[[#This Row],[TPS Cumul (h)]], 0)</f>
        <v>0</v>
      </c>
      <c r="H31" s="4">
        <f>Février[[#This Row],[TPS Cumul (h)]]+Février[[#This Row],[RPS (h)]]</f>
        <v>0</v>
      </c>
      <c r="I31" s="4">
        <f>Février[[#This Row],[CI (h)]]-Février[[#This Row],[CR (h)]]</f>
        <v>0</v>
      </c>
      <c r="J31" s="4" t="str">
        <f>IF(Février[[#This Row],[Qui]]="Chef de projet","32",IF(Février[[#This Row],[Qui]]="Ingénieur Electronique","32",IF(Février[[#This Row],[Qui]]="Ingénieur qualité","36",IF(Février[[#This Row],[Qui]]="Ingénieur Développement",30,IF(Février[[#This Row],[Qui]]="Ingénieur Mécanique",34,"")))))</f>
        <v>32</v>
      </c>
      <c r="K31" s="4">
        <f>Février[[#This Row],[CI (h)]]*Février[[#This Row],[PRU (€)]]</f>
        <v>0</v>
      </c>
      <c r="L31" s="4">
        <f>Février[[#This Row],[CR (h)]]*Février[[#This Row],[PRU (€)]]</f>
        <v>0</v>
      </c>
      <c r="M31" s="16">
        <f>Février[[#This Row],[PRU (€)]]*Février[[#This Row],[TPS Cumul (h)]]</f>
        <v>0</v>
      </c>
      <c r="N31" s="3" t="s">
        <v>43</v>
      </c>
    </row>
    <row r="32" spans="1:14" x14ac:dyDescent="0.2">
      <c r="B32" s="2" t="s">
        <v>21</v>
      </c>
      <c r="C32" s="2"/>
      <c r="D32" s="2">
        <f>SUBTOTAL(109,Février[CI (h)])</f>
        <v>120</v>
      </c>
      <c r="E32" s="2">
        <f>SUBTOTAL(109,Février[TPS Période(h)])</f>
        <v>0</v>
      </c>
      <c r="F32" s="2">
        <f>SUBTOTAL(109,Février[TPS Cumul (h)])</f>
        <v>45</v>
      </c>
      <c r="G32" s="2">
        <f>SUBTOTAL(109,Février[RPS (h)])</f>
        <v>93</v>
      </c>
      <c r="H32" s="2">
        <f>SUBTOTAL(109,Février[CR (h)])</f>
        <v>138</v>
      </c>
      <c r="I32" s="2">
        <f>SUBTOTAL(109,Février[EC (h)])</f>
        <v>-18</v>
      </c>
      <c r="J32" s="2">
        <f>SUBTOTAL(109,Février[PRU (€)])</f>
        <v>0</v>
      </c>
      <c r="K32" s="2">
        <f>SUBTOTAL(109,Février[Coût Initial (€)])</f>
        <v>3840</v>
      </c>
      <c r="L32" s="1">
        <f>SUBTOTAL(109,Février[Coût Révisé (€)])</f>
        <v>4416</v>
      </c>
      <c r="M32" s="1">
        <f>SUBTOTAL(109,Février[Coût Réel])</f>
        <v>1440</v>
      </c>
      <c r="N32" s="3"/>
    </row>
    <row r="33" spans="2:14" x14ac:dyDescent="0.2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6" spans="2:14" x14ac:dyDescent="0.2">
      <c r="B36" s="7" t="s">
        <v>23</v>
      </c>
      <c r="C36" s="7" t="s">
        <v>40</v>
      </c>
      <c r="D36" s="7" t="s">
        <v>26</v>
      </c>
      <c r="E36" s="7" t="s">
        <v>44</v>
      </c>
      <c r="N36" s="5" t="s">
        <v>41</v>
      </c>
    </row>
    <row r="37" spans="2:14" x14ac:dyDescent="0.2">
      <c r="N37" t="s">
        <v>43</v>
      </c>
    </row>
    <row r="38" spans="2:14" x14ac:dyDescent="0.2">
      <c r="N38" t="s">
        <v>42</v>
      </c>
    </row>
    <row r="39" spans="2:14" x14ac:dyDescent="0.2">
      <c r="B39" s="5" t="s">
        <v>19</v>
      </c>
      <c r="C39" s="5">
        <v>0</v>
      </c>
      <c r="D39" s="5">
        <v>68</v>
      </c>
      <c r="E39" s="5">
        <f>SUMIFS(Février[TPS Cumul (h)], Février[Qui], "Chef de projet")</f>
        <v>45</v>
      </c>
    </row>
    <row r="40" spans="2:14" x14ac:dyDescent="0.2">
      <c r="B40" s="5" t="s">
        <v>21</v>
      </c>
      <c r="C40" s="5">
        <f>SUM(C37:C39)</f>
        <v>0</v>
      </c>
      <c r="D40" s="5"/>
      <c r="E40" s="5">
        <f>SUM(E37:E39)</f>
        <v>45</v>
      </c>
    </row>
  </sheetData>
  <mergeCells count="8">
    <mergeCell ref="A29:A31"/>
    <mergeCell ref="A2:A3"/>
    <mergeCell ref="A4:A5"/>
    <mergeCell ref="A10:A13"/>
    <mergeCell ref="A14:A17"/>
    <mergeCell ref="A18:A22"/>
    <mergeCell ref="A23:A24"/>
    <mergeCell ref="A25:A26"/>
  </mergeCells>
  <conditionalFormatting sqref="B2:B3">
    <cfRule type="expression" dxfId="33" priority="9">
      <formula>$F2&gt;0</formula>
    </cfRule>
  </conditionalFormatting>
  <conditionalFormatting sqref="B4:B9">
    <cfRule type="expression" dxfId="32" priority="12">
      <formula>#REF!&gt;0</formula>
    </cfRule>
  </conditionalFormatting>
  <conditionalFormatting sqref="B6">
    <cfRule type="expression" dxfId="31" priority="15">
      <formula>$F4&gt;0</formula>
    </cfRule>
  </conditionalFormatting>
  <conditionalFormatting sqref="B7:B8">
    <cfRule type="expression" dxfId="30" priority="74">
      <formula>$F12&gt;0</formula>
    </cfRule>
  </conditionalFormatting>
  <conditionalFormatting sqref="B9">
    <cfRule type="expression" dxfId="29" priority="65">
      <formula>$F13&gt;0</formula>
    </cfRule>
  </conditionalFormatting>
  <conditionalFormatting sqref="B11">
    <cfRule type="expression" dxfId="28" priority="19">
      <formula>#REF!&gt;0</formula>
    </cfRule>
  </conditionalFormatting>
  <conditionalFormatting sqref="B12:B13">
    <cfRule type="expression" dxfId="27" priority="17">
      <formula>$F15&gt;0</formula>
    </cfRule>
  </conditionalFormatting>
  <conditionalFormatting sqref="B14:B18">
    <cfRule type="expression" dxfId="26" priority="10">
      <formula>#REF!&gt;0</formula>
    </cfRule>
  </conditionalFormatting>
  <conditionalFormatting sqref="B21:B29">
    <cfRule type="expression" dxfId="25" priority="4">
      <formula>#REF!&gt;0</formula>
    </cfRule>
  </conditionalFormatting>
  <conditionalFormatting sqref="B22 B24:B27 B29 C2:C31 E2:M31">
    <cfRule type="expression" dxfId="24" priority="23">
      <formula>$N2="Oui"</formula>
    </cfRule>
  </conditionalFormatting>
  <conditionalFormatting sqref="B22">
    <cfRule type="expression" dxfId="23" priority="59">
      <formula>$N18="Oui"</formula>
    </cfRule>
    <cfRule type="expression" dxfId="22" priority="60">
      <formula>$F18&gt;0</formula>
    </cfRule>
  </conditionalFormatting>
  <conditionalFormatting sqref="B25:B29">
    <cfRule type="expression" dxfId="21" priority="87">
      <formula>#REF!="Oui"</formula>
    </cfRule>
    <cfRule type="expression" dxfId="20" priority="88">
      <formula>#REF!&gt;0</formula>
    </cfRule>
  </conditionalFormatting>
  <conditionalFormatting sqref="B28">
    <cfRule type="expression" dxfId="19" priority="83">
      <formula>#REF!="Oui"</formula>
    </cfRule>
    <cfRule type="expression" dxfId="18" priority="84">
      <formula>#REF!&gt;0</formula>
    </cfRule>
    <cfRule type="expression" dxfId="17" priority="99">
      <formula>$N30="Oui"</formula>
    </cfRule>
    <cfRule type="expression" dxfId="16" priority="100">
      <formula>$F30&gt;0</formula>
    </cfRule>
    <cfRule type="expression" dxfId="15" priority="107">
      <formula>#REF!="Oui"</formula>
    </cfRule>
    <cfRule type="expression" dxfId="14" priority="108">
      <formula>#REF!&gt;0</formula>
    </cfRule>
  </conditionalFormatting>
  <conditionalFormatting sqref="C2:C31 E2:M31 B22 B24:B27 B29">
    <cfRule type="expression" dxfId="13" priority="24">
      <formula>$F2&gt;0</formula>
    </cfRule>
  </conditionalFormatting>
  <conditionalFormatting sqref="D2:D31">
    <cfRule type="expression" dxfId="12" priority="1">
      <formula>$F2&gt;0</formula>
    </cfRule>
  </conditionalFormatting>
  <dataValidations count="2">
    <dataValidation type="list" allowBlank="1" showInputMessage="1" showErrorMessage="1" sqref="N2:N31" xr:uid="{6823B4C7-D1D9-48BA-8112-965D9E0B58C0}">
      <formula1>$N$37:$N$38</formula1>
    </dataValidation>
    <dataValidation type="list" allowBlank="1" showInputMessage="1" showErrorMessage="1" sqref="C2:C31" xr:uid="{1CA73F27-ED7D-42AF-B0B1-1F8DD19FB75E}">
      <formula1>$B$37:$B$39</formula1>
    </dataValidation>
  </dataValidations>
  <pageMargins left="0.7" right="0.7" top="0.75" bottom="0.75" header="0.3" footer="0.3"/>
  <ignoredErrors>
    <ignoredError sqref="J2:J5 J29:J31 J10:J21 J25:J27 J22 J23:J24" calculatedColumn="1"/>
  </ignoredErrors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e72ef8-afb7-4cab-8045-23d1f296c8e3" xsi:nil="true"/>
    <lcf76f155ced4ddcb4097134ff3c332f xmlns="f3823e97-3c8f-42af-9aa3-4a85adc1b98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9263497045A640A8CB558901A6A6C8" ma:contentTypeVersion="11" ma:contentTypeDescription="Crée un document." ma:contentTypeScope="" ma:versionID="74a64c617853225d9915ce5c2407eb7f">
  <xsd:schema xmlns:xsd="http://www.w3.org/2001/XMLSchema" xmlns:xs="http://www.w3.org/2001/XMLSchema" xmlns:p="http://schemas.microsoft.com/office/2006/metadata/properties" xmlns:ns2="f3823e97-3c8f-42af-9aa3-4a85adc1b986" xmlns:ns3="1ee72ef8-afb7-4cab-8045-23d1f296c8e3" targetNamespace="http://schemas.microsoft.com/office/2006/metadata/properties" ma:root="true" ma:fieldsID="2245405c225123f82bf2fff4f792a1eb" ns2:_="" ns3:_="">
    <xsd:import namespace="f3823e97-3c8f-42af-9aa3-4a85adc1b986"/>
    <xsd:import namespace="1ee72ef8-afb7-4cab-8045-23d1f296c8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823e97-3c8f-42af-9aa3-4a85adc1b9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2fee1a98-43a5-414c-ba74-85edd82ad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e72ef8-afb7-4cab-8045-23d1f296c8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6760f6c-308c-4bc3-aa0b-acf4d151f2cd}" ma:internalName="TaxCatchAll" ma:showField="CatchAllData" ma:web="1ee72ef8-afb7-4cab-8045-23d1f296c8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D8CA4D-88CF-4FAD-9219-4EDEC6099C12}">
  <ds:schemaRefs>
    <ds:schemaRef ds:uri="http://purl.org/dc/dcmitype/"/>
    <ds:schemaRef ds:uri="1ee72ef8-afb7-4cab-8045-23d1f296c8e3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3823e97-3c8f-42af-9aa3-4a85adc1b986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3B8A56E-0482-4C34-B391-4275AF43D7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4B8A2DB-F0C8-46F4-AC39-BA8B306E64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823e97-3c8f-42af-9aa3-4a85adc1b986"/>
    <ds:schemaRef ds:uri="1ee72ef8-afb7-4cab-8045-23d1f296c8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6150599-ebb0-4fcf-94a5-6010823c7bd5}" enabled="0" method="" siteId="{16150599-ebb0-4fcf-94a5-6010823c7b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Synthèse</vt:lpstr>
      <vt:lpstr>Septembre</vt:lpstr>
      <vt:lpstr>Octobre</vt:lpstr>
      <vt:lpstr>Novembre</vt:lpstr>
      <vt:lpstr>Décembre</vt:lpstr>
      <vt:lpstr>Janvier</vt:lpstr>
      <vt:lpstr>Février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Damien Lorigeon</cp:lastModifiedBy>
  <cp:revision/>
  <dcterms:created xsi:type="dcterms:W3CDTF">2024-01-15T15:35:24Z</dcterms:created>
  <dcterms:modified xsi:type="dcterms:W3CDTF">2025-11-03T10:47:54Z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0x010100CF9263497045A640A8CB558901A6A6C8</vt:lpwstr>
  </property>
  <property fmtid="{D5CDD505-2E9C-101B-9397-08002B2CF9AE}" pid="3" name="MediaServiceImageTags">
    <vt:lpwstr/>
  </property>
</Properties>
</file>