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2 - Gestion de projet/SPER - INDICATEURS - RISQUES/"/>
    </mc:Choice>
  </mc:AlternateContent>
  <xr:revisionPtr revIDLastSave="0" documentId="13_ncr:1_{330680CD-CADF-FF41-AD3D-EE6B63681C9C}" xr6:coauthVersionLast="47" xr6:coauthVersionMax="47" xr10:uidLastSave="{00000000-0000-0000-0000-000000000000}"/>
  <bookViews>
    <workbookView xWindow="0" yWindow="620" windowWidth="28800" windowHeight="16120" activeTab="4" xr2:uid="{00000000-000D-0000-FFFF-FFFF00000000}"/>
  </bookViews>
  <sheets>
    <sheet name="Synthèse" sheetId="6" r:id="rId1"/>
    <sheet name="Septembre" sheetId="13" r:id="rId2"/>
    <sheet name="Octobre" sheetId="14" r:id="rId3"/>
    <sheet name="Novembre" sheetId="2" r:id="rId4"/>
    <sheet name="Décembre" sheetId="3" r:id="rId5"/>
    <sheet name="Janvier" sheetId="4" r:id="rId6"/>
    <sheet name="Févri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I8" i="6"/>
  <c r="I6" i="6"/>
  <c r="I5" i="6"/>
  <c r="I4" i="6"/>
  <c r="H31" i="7" l="1"/>
  <c r="G9" i="6" s="1"/>
  <c r="F31" i="7"/>
  <c r="E31" i="7"/>
  <c r="D31" i="7"/>
  <c r="K30" i="7"/>
  <c r="J30" i="7"/>
  <c r="M30" i="7" s="1"/>
  <c r="H30" i="7"/>
  <c r="L30" i="7" s="1"/>
  <c r="G30" i="7"/>
  <c r="F30" i="7"/>
  <c r="K29" i="7"/>
  <c r="J29" i="7"/>
  <c r="M29" i="7" s="1"/>
  <c r="H29" i="7"/>
  <c r="L29" i="7" s="1"/>
  <c r="G29" i="7"/>
  <c r="F29" i="7"/>
  <c r="K28" i="7"/>
  <c r="J28" i="7"/>
  <c r="M28" i="7" s="1"/>
  <c r="H28" i="7"/>
  <c r="L28" i="7" s="1"/>
  <c r="G28" i="7"/>
  <c r="F28" i="7"/>
  <c r="K27" i="7"/>
  <c r="J27" i="7"/>
  <c r="M27" i="7" s="1"/>
  <c r="H27" i="7"/>
  <c r="L27" i="7" s="1"/>
  <c r="G27" i="7"/>
  <c r="F27" i="7"/>
  <c r="K26" i="7"/>
  <c r="J26" i="7"/>
  <c r="M26" i="7" s="1"/>
  <c r="H26" i="7"/>
  <c r="L26" i="7" s="1"/>
  <c r="G26" i="7"/>
  <c r="F26" i="7"/>
  <c r="K25" i="7"/>
  <c r="J25" i="7"/>
  <c r="M25" i="7" s="1"/>
  <c r="H25" i="7"/>
  <c r="L25" i="7" s="1"/>
  <c r="G25" i="7"/>
  <c r="F25" i="7"/>
  <c r="K24" i="7"/>
  <c r="J24" i="7"/>
  <c r="M24" i="7" s="1"/>
  <c r="H24" i="7"/>
  <c r="L24" i="7" s="1"/>
  <c r="G24" i="7"/>
  <c r="F24" i="7"/>
  <c r="J23" i="7"/>
  <c r="M23" i="7" s="1"/>
  <c r="H23" i="7"/>
  <c r="L23" i="7" s="1"/>
  <c r="G23" i="7"/>
  <c r="F23" i="7"/>
  <c r="J22" i="7"/>
  <c r="K22" i="7" s="1"/>
  <c r="H22" i="7"/>
  <c r="L22" i="7" s="1"/>
  <c r="G22" i="7"/>
  <c r="F22" i="7"/>
  <c r="K21" i="7"/>
  <c r="J21" i="7"/>
  <c r="M21" i="7" s="1"/>
  <c r="H21" i="7"/>
  <c r="L21" i="7" s="1"/>
  <c r="G21" i="7"/>
  <c r="F21" i="7"/>
  <c r="K20" i="7"/>
  <c r="J20" i="7"/>
  <c r="M20" i="7" s="1"/>
  <c r="H20" i="7"/>
  <c r="L20" i="7" s="1"/>
  <c r="G20" i="7"/>
  <c r="F20" i="7"/>
  <c r="J19" i="7"/>
  <c r="K19" i="7" s="1"/>
  <c r="H19" i="7"/>
  <c r="L19" i="7" s="1"/>
  <c r="G19" i="7"/>
  <c r="F19" i="7"/>
  <c r="J18" i="7"/>
  <c r="M18" i="7" s="1"/>
  <c r="H18" i="7"/>
  <c r="L18" i="7" s="1"/>
  <c r="G18" i="7"/>
  <c r="F18" i="7"/>
  <c r="J17" i="7"/>
  <c r="K17" i="7" s="1"/>
  <c r="H17" i="7"/>
  <c r="L17" i="7" s="1"/>
  <c r="G17" i="7"/>
  <c r="F17" i="7"/>
  <c r="J16" i="7"/>
  <c r="M16" i="7" s="1"/>
  <c r="H16" i="7"/>
  <c r="L16" i="7" s="1"/>
  <c r="G16" i="7"/>
  <c r="F16" i="7"/>
  <c r="J15" i="7"/>
  <c r="K15" i="7" s="1"/>
  <c r="H15" i="7"/>
  <c r="L15" i="7" s="1"/>
  <c r="G15" i="7"/>
  <c r="F15" i="7"/>
  <c r="J14" i="7"/>
  <c r="K14" i="7" s="1"/>
  <c r="H14" i="7"/>
  <c r="L14" i="7" s="1"/>
  <c r="G14" i="7"/>
  <c r="F14" i="7"/>
  <c r="J13" i="7"/>
  <c r="M13" i="7" s="1"/>
  <c r="H13" i="7"/>
  <c r="L13" i="7" s="1"/>
  <c r="G13" i="7"/>
  <c r="F13" i="7"/>
  <c r="J12" i="7"/>
  <c r="M12" i="7" s="1"/>
  <c r="H12" i="7"/>
  <c r="L12" i="7" s="1"/>
  <c r="G12" i="7"/>
  <c r="F12" i="7"/>
  <c r="J11" i="7"/>
  <c r="K11" i="7" s="1"/>
  <c r="H11" i="7"/>
  <c r="L11" i="7" s="1"/>
  <c r="G11" i="7"/>
  <c r="F11" i="7"/>
  <c r="J10" i="7"/>
  <c r="K10" i="7" s="1"/>
  <c r="H10" i="7"/>
  <c r="L10" i="7" s="1"/>
  <c r="G10" i="7"/>
  <c r="F10" i="7"/>
  <c r="J9" i="7"/>
  <c r="M9" i="7" s="1"/>
  <c r="H9" i="7"/>
  <c r="L9" i="7" s="1"/>
  <c r="G9" i="7"/>
  <c r="F9" i="7"/>
  <c r="J8" i="7"/>
  <c r="M8" i="7" s="1"/>
  <c r="H8" i="7"/>
  <c r="L8" i="7" s="1"/>
  <c r="G8" i="7"/>
  <c r="F8" i="7"/>
  <c r="J7" i="7"/>
  <c r="K7" i="7" s="1"/>
  <c r="H7" i="7"/>
  <c r="L7" i="7" s="1"/>
  <c r="G7" i="7"/>
  <c r="F7" i="7"/>
  <c r="J6" i="7"/>
  <c r="K6" i="7" s="1"/>
  <c r="H6" i="7"/>
  <c r="L6" i="7" s="1"/>
  <c r="G6" i="7"/>
  <c r="F6" i="7"/>
  <c r="J5" i="7"/>
  <c r="M5" i="7" s="1"/>
  <c r="H5" i="7"/>
  <c r="L5" i="7" s="1"/>
  <c r="G5" i="7"/>
  <c r="F5" i="7"/>
  <c r="J4" i="7"/>
  <c r="M4" i="7" s="1"/>
  <c r="H4" i="7"/>
  <c r="L4" i="7" s="1"/>
  <c r="G4" i="7"/>
  <c r="F4" i="7"/>
  <c r="J3" i="7"/>
  <c r="K3" i="7" s="1"/>
  <c r="H3" i="7"/>
  <c r="L3" i="7" s="1"/>
  <c r="G3" i="7"/>
  <c r="F3" i="7"/>
  <c r="J2" i="7"/>
  <c r="K2" i="7" s="1"/>
  <c r="H2" i="7"/>
  <c r="L2" i="7" s="1"/>
  <c r="G2" i="7"/>
  <c r="G31" i="7" s="1"/>
  <c r="F2" i="7"/>
  <c r="G31" i="4"/>
  <c r="E31" i="4"/>
  <c r="D31" i="4"/>
  <c r="K30" i="4"/>
  <c r="J30" i="4"/>
  <c r="M30" i="4" s="1"/>
  <c r="I30" i="4"/>
  <c r="H30" i="4"/>
  <c r="G30" i="4"/>
  <c r="F30" i="4"/>
  <c r="K29" i="4"/>
  <c r="J29" i="4"/>
  <c r="M29" i="4" s="1"/>
  <c r="I29" i="4"/>
  <c r="H29" i="4"/>
  <c r="G29" i="4"/>
  <c r="F29" i="4"/>
  <c r="K28" i="4"/>
  <c r="J28" i="4"/>
  <c r="L28" i="4" s="1"/>
  <c r="I28" i="4"/>
  <c r="H28" i="4"/>
  <c r="G28" i="4"/>
  <c r="F28" i="4"/>
  <c r="K27" i="4"/>
  <c r="J27" i="4"/>
  <c r="M27" i="4" s="1"/>
  <c r="I27" i="4"/>
  <c r="H27" i="4"/>
  <c r="G27" i="4"/>
  <c r="F27" i="4"/>
  <c r="K26" i="4"/>
  <c r="J26" i="4"/>
  <c r="L26" i="4" s="1"/>
  <c r="I26" i="4"/>
  <c r="H26" i="4"/>
  <c r="G26" i="4"/>
  <c r="F26" i="4"/>
  <c r="K25" i="4"/>
  <c r="J25" i="4"/>
  <c r="M25" i="4" s="1"/>
  <c r="I25" i="4"/>
  <c r="H25" i="4"/>
  <c r="G25" i="4"/>
  <c r="F25" i="4"/>
  <c r="K24" i="4"/>
  <c r="J24" i="4"/>
  <c r="L24" i="4" s="1"/>
  <c r="I24" i="4"/>
  <c r="H24" i="4"/>
  <c r="G24" i="4"/>
  <c r="F24" i="4"/>
  <c r="J23" i="4"/>
  <c r="K23" i="4" s="1"/>
  <c r="G23" i="4"/>
  <c r="H23" i="4" s="1"/>
  <c r="F23" i="4"/>
  <c r="J22" i="4"/>
  <c r="K22" i="4" s="1"/>
  <c r="G22" i="4"/>
  <c r="H22" i="4" s="1"/>
  <c r="F22" i="4"/>
  <c r="K21" i="4"/>
  <c r="J21" i="4"/>
  <c r="M21" i="4" s="1"/>
  <c r="G21" i="4"/>
  <c r="H21" i="4" s="1"/>
  <c r="F21" i="4"/>
  <c r="K20" i="4"/>
  <c r="J20" i="4"/>
  <c r="M20" i="4" s="1"/>
  <c r="G20" i="4"/>
  <c r="H20" i="4" s="1"/>
  <c r="F20" i="4"/>
  <c r="J19" i="4"/>
  <c r="K19" i="4" s="1"/>
  <c r="G19" i="4"/>
  <c r="H19" i="4" s="1"/>
  <c r="F19" i="4"/>
  <c r="J18" i="4"/>
  <c r="K18" i="4" s="1"/>
  <c r="G18" i="4"/>
  <c r="H18" i="4" s="1"/>
  <c r="F18" i="4"/>
  <c r="J17" i="4"/>
  <c r="M17" i="4" s="1"/>
  <c r="G17" i="4"/>
  <c r="H17" i="4" s="1"/>
  <c r="F17" i="4"/>
  <c r="J16" i="4"/>
  <c r="K16" i="4" s="1"/>
  <c r="G16" i="4"/>
  <c r="H16" i="4" s="1"/>
  <c r="F16" i="4"/>
  <c r="J15" i="4"/>
  <c r="M15" i="4" s="1"/>
  <c r="G15" i="4"/>
  <c r="H15" i="4" s="1"/>
  <c r="F15" i="4"/>
  <c r="J14" i="4"/>
  <c r="K14" i="4" s="1"/>
  <c r="G14" i="4"/>
  <c r="H14" i="4" s="1"/>
  <c r="F14" i="4"/>
  <c r="J13" i="4"/>
  <c r="M13" i="4" s="1"/>
  <c r="G13" i="4"/>
  <c r="H13" i="4" s="1"/>
  <c r="F13" i="4"/>
  <c r="J12" i="4"/>
  <c r="K12" i="4" s="1"/>
  <c r="G12" i="4"/>
  <c r="H12" i="4" s="1"/>
  <c r="F12" i="4"/>
  <c r="J11" i="4"/>
  <c r="K11" i="4" s="1"/>
  <c r="G11" i="4"/>
  <c r="H11" i="4" s="1"/>
  <c r="F11" i="4"/>
  <c r="J10" i="4"/>
  <c r="M10" i="4" s="1"/>
  <c r="G10" i="4"/>
  <c r="H10" i="4" s="1"/>
  <c r="F10" i="4"/>
  <c r="J9" i="4"/>
  <c r="K9" i="4" s="1"/>
  <c r="G9" i="4"/>
  <c r="H9" i="4" s="1"/>
  <c r="F9" i="4"/>
  <c r="J8" i="4"/>
  <c r="M8" i="4" s="1"/>
  <c r="G8" i="4"/>
  <c r="H8" i="4" s="1"/>
  <c r="F8" i="4"/>
  <c r="J7" i="4"/>
  <c r="K7" i="4" s="1"/>
  <c r="G7" i="4"/>
  <c r="H7" i="4" s="1"/>
  <c r="F7" i="4"/>
  <c r="J6" i="4"/>
  <c r="M6" i="4" s="1"/>
  <c r="G6" i="4"/>
  <c r="H6" i="4" s="1"/>
  <c r="F6" i="4"/>
  <c r="J5" i="4"/>
  <c r="K5" i="4" s="1"/>
  <c r="G5" i="4"/>
  <c r="H5" i="4" s="1"/>
  <c r="F5" i="4"/>
  <c r="J4" i="4"/>
  <c r="K4" i="4" s="1"/>
  <c r="G4" i="4"/>
  <c r="H4" i="4" s="1"/>
  <c r="F4" i="4"/>
  <c r="J3" i="4"/>
  <c r="M3" i="4" s="1"/>
  <c r="G3" i="4"/>
  <c r="H3" i="4" s="1"/>
  <c r="F3" i="4"/>
  <c r="J2" i="4"/>
  <c r="J31" i="4" s="1"/>
  <c r="G2" i="4"/>
  <c r="H2" i="4" s="1"/>
  <c r="F2" i="4"/>
  <c r="F31" i="4" s="1"/>
  <c r="E8" i="6" s="1"/>
  <c r="J31" i="3"/>
  <c r="E31" i="3"/>
  <c r="D31" i="3"/>
  <c r="K30" i="3"/>
  <c r="J30" i="3"/>
  <c r="M30" i="3" s="1"/>
  <c r="H30" i="3"/>
  <c r="L30" i="3" s="1"/>
  <c r="G30" i="3"/>
  <c r="F30" i="3"/>
  <c r="K29" i="3"/>
  <c r="J29" i="3"/>
  <c r="M29" i="3" s="1"/>
  <c r="H29" i="3"/>
  <c r="L29" i="3" s="1"/>
  <c r="G29" i="3"/>
  <c r="F29" i="3"/>
  <c r="K28" i="3"/>
  <c r="J28" i="3"/>
  <c r="M28" i="3" s="1"/>
  <c r="H28" i="3"/>
  <c r="L28" i="3" s="1"/>
  <c r="G28" i="3"/>
  <c r="F28" i="3"/>
  <c r="K27" i="3"/>
  <c r="J27" i="3"/>
  <c r="M27" i="3" s="1"/>
  <c r="H27" i="3"/>
  <c r="I27" i="3" s="1"/>
  <c r="G27" i="3"/>
  <c r="F27" i="3"/>
  <c r="K26" i="3"/>
  <c r="J26" i="3"/>
  <c r="M26" i="3" s="1"/>
  <c r="H26" i="3"/>
  <c r="L26" i="3" s="1"/>
  <c r="G26" i="3"/>
  <c r="F26" i="3"/>
  <c r="K25" i="3"/>
  <c r="J25" i="3"/>
  <c r="M25" i="3" s="1"/>
  <c r="H25" i="3"/>
  <c r="L25" i="3" s="1"/>
  <c r="G25" i="3"/>
  <c r="F25" i="3"/>
  <c r="J24" i="3"/>
  <c r="G24" i="3"/>
  <c r="H24" i="3" s="1"/>
  <c r="F24" i="3"/>
  <c r="K24" i="3" s="1"/>
  <c r="K23" i="3"/>
  <c r="J23" i="3"/>
  <c r="M23" i="3" s="1"/>
  <c r="G23" i="3"/>
  <c r="H23" i="3" s="1"/>
  <c r="I23" i="3" s="1"/>
  <c r="F23" i="3"/>
  <c r="K22" i="3"/>
  <c r="J22" i="3"/>
  <c r="M22" i="3" s="1"/>
  <c r="H22" i="3"/>
  <c r="L22" i="3" s="1"/>
  <c r="G22" i="3"/>
  <c r="F22" i="3"/>
  <c r="K21" i="3"/>
  <c r="J21" i="3"/>
  <c r="M21" i="3" s="1"/>
  <c r="H21" i="3"/>
  <c r="L21" i="3" s="1"/>
  <c r="G21" i="3"/>
  <c r="F21" i="3"/>
  <c r="K20" i="3"/>
  <c r="J20" i="3"/>
  <c r="M20" i="3" s="1"/>
  <c r="H20" i="3"/>
  <c r="I20" i="3" s="1"/>
  <c r="G20" i="3"/>
  <c r="F20" i="3"/>
  <c r="J19" i="3"/>
  <c r="F19" i="3"/>
  <c r="K18" i="3"/>
  <c r="J18" i="3"/>
  <c r="M18" i="3" s="1"/>
  <c r="G18" i="3"/>
  <c r="H18" i="3" s="1"/>
  <c r="L18" i="3" s="1"/>
  <c r="F18" i="3"/>
  <c r="K17" i="3"/>
  <c r="J17" i="3"/>
  <c r="M17" i="3" s="1"/>
  <c r="H17" i="3"/>
  <c r="L17" i="3" s="1"/>
  <c r="G17" i="3"/>
  <c r="F17" i="3"/>
  <c r="K16" i="3"/>
  <c r="J16" i="3"/>
  <c r="M16" i="3" s="1"/>
  <c r="H16" i="3"/>
  <c r="I16" i="3" s="1"/>
  <c r="G16" i="3"/>
  <c r="F16" i="3"/>
  <c r="K15" i="3"/>
  <c r="J15" i="3"/>
  <c r="M15" i="3" s="1"/>
  <c r="H15" i="3"/>
  <c r="L15" i="3" s="1"/>
  <c r="G15" i="3"/>
  <c r="F15" i="3"/>
  <c r="K14" i="3"/>
  <c r="J14" i="3"/>
  <c r="M14" i="3" s="1"/>
  <c r="H14" i="3"/>
  <c r="L14" i="3" s="1"/>
  <c r="G14" i="3"/>
  <c r="F14" i="3"/>
  <c r="K13" i="3"/>
  <c r="J13" i="3"/>
  <c r="M13" i="3" s="1"/>
  <c r="H13" i="3"/>
  <c r="I13" i="3" s="1"/>
  <c r="G13" i="3"/>
  <c r="F13" i="3"/>
  <c r="K12" i="3"/>
  <c r="J12" i="3"/>
  <c r="M12" i="3" s="1"/>
  <c r="H12" i="3"/>
  <c r="I12" i="3" s="1"/>
  <c r="G12" i="3"/>
  <c r="F12" i="3"/>
  <c r="K11" i="3"/>
  <c r="J11" i="3"/>
  <c r="M11" i="3" s="1"/>
  <c r="H11" i="3"/>
  <c r="L11" i="3" s="1"/>
  <c r="G11" i="3"/>
  <c r="F11" i="3"/>
  <c r="K10" i="3"/>
  <c r="J10" i="3"/>
  <c r="M10" i="3" s="1"/>
  <c r="H10" i="3"/>
  <c r="I10" i="3" s="1"/>
  <c r="G10" i="3"/>
  <c r="F10" i="3"/>
  <c r="K9" i="3"/>
  <c r="J9" i="3"/>
  <c r="M9" i="3" s="1"/>
  <c r="H9" i="3"/>
  <c r="L9" i="3" s="1"/>
  <c r="G9" i="3"/>
  <c r="F9" i="3"/>
  <c r="K8" i="3"/>
  <c r="J8" i="3"/>
  <c r="M8" i="3" s="1"/>
  <c r="H8" i="3"/>
  <c r="L8" i="3" s="1"/>
  <c r="G8" i="3"/>
  <c r="F8" i="3"/>
  <c r="K7" i="3"/>
  <c r="J7" i="3"/>
  <c r="M7" i="3" s="1"/>
  <c r="H7" i="3"/>
  <c r="I7" i="3" s="1"/>
  <c r="G7" i="3"/>
  <c r="F7" i="3"/>
  <c r="K6" i="3"/>
  <c r="J6" i="3"/>
  <c r="M6" i="3" s="1"/>
  <c r="H6" i="3"/>
  <c r="I6" i="3" s="1"/>
  <c r="G6" i="3"/>
  <c r="F6" i="3"/>
  <c r="K5" i="3"/>
  <c r="J5" i="3"/>
  <c r="M5" i="3" s="1"/>
  <c r="H5" i="3"/>
  <c r="L5" i="3" s="1"/>
  <c r="G5" i="3"/>
  <c r="F5" i="3"/>
  <c r="K4" i="3"/>
  <c r="J4" i="3"/>
  <c r="M4" i="3" s="1"/>
  <c r="H4" i="3"/>
  <c r="L4" i="3" s="1"/>
  <c r="G4" i="3"/>
  <c r="F4" i="3"/>
  <c r="K3" i="3"/>
  <c r="J3" i="3"/>
  <c r="M3" i="3" s="1"/>
  <c r="H3" i="3"/>
  <c r="I3" i="3" s="1"/>
  <c r="G3" i="3"/>
  <c r="F3" i="3"/>
  <c r="K2" i="3"/>
  <c r="J2" i="3"/>
  <c r="M2" i="3" s="1"/>
  <c r="H2" i="3"/>
  <c r="L2" i="3" s="1"/>
  <c r="G2" i="3"/>
  <c r="F2" i="3"/>
  <c r="H5" i="6"/>
  <c r="H4" i="6"/>
  <c r="G5" i="6"/>
  <c r="G4" i="6"/>
  <c r="F5" i="6"/>
  <c r="F4" i="6"/>
  <c r="E9" i="6"/>
  <c r="H9" i="6" s="1"/>
  <c r="E6" i="6"/>
  <c r="E5" i="6"/>
  <c r="E4" i="6"/>
  <c r="C6" i="6"/>
  <c r="C5" i="6"/>
  <c r="C4" i="6"/>
  <c r="J2" i="13"/>
  <c r="K2" i="14"/>
  <c r="K3" i="14"/>
  <c r="K4" i="14"/>
  <c r="K5" i="14"/>
  <c r="K10" i="14"/>
  <c r="K11" i="14"/>
  <c r="K12" i="14"/>
  <c r="K18" i="14"/>
  <c r="K19" i="14"/>
  <c r="K20" i="14"/>
  <c r="K21" i="14"/>
  <c r="K26" i="14"/>
  <c r="K27" i="14"/>
  <c r="K28" i="14"/>
  <c r="K29" i="14"/>
  <c r="J2" i="14"/>
  <c r="M2" i="14" s="1"/>
  <c r="J3" i="14"/>
  <c r="J4" i="14"/>
  <c r="J5" i="14"/>
  <c r="J6" i="14"/>
  <c r="J7" i="14"/>
  <c r="J8" i="14"/>
  <c r="J9" i="14"/>
  <c r="J10" i="14"/>
  <c r="J11" i="14"/>
  <c r="J12" i="14"/>
  <c r="J13" i="14"/>
  <c r="K13" i="14" s="1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G2" i="14"/>
  <c r="G3" i="14"/>
  <c r="G4" i="14"/>
  <c r="G5" i="14"/>
  <c r="G7" i="14"/>
  <c r="G8" i="14"/>
  <c r="G10" i="14"/>
  <c r="G11" i="14"/>
  <c r="G12" i="14"/>
  <c r="G13" i="14"/>
  <c r="G15" i="14"/>
  <c r="G18" i="14"/>
  <c r="G19" i="14"/>
  <c r="G20" i="14"/>
  <c r="G21" i="14"/>
  <c r="G26" i="14"/>
  <c r="G27" i="14"/>
  <c r="G28" i="14"/>
  <c r="G29" i="14"/>
  <c r="F2" i="14"/>
  <c r="H2" i="14" s="1"/>
  <c r="F3" i="14"/>
  <c r="F4" i="14"/>
  <c r="F5" i="14"/>
  <c r="F6" i="14"/>
  <c r="K6" i="14" s="1"/>
  <c r="F7" i="14"/>
  <c r="K7" i="14" s="1"/>
  <c r="F8" i="14"/>
  <c r="K8" i="14" s="1"/>
  <c r="F9" i="14"/>
  <c r="K9" i="14" s="1"/>
  <c r="F10" i="14"/>
  <c r="F11" i="14"/>
  <c r="F12" i="14"/>
  <c r="F13" i="14"/>
  <c r="F14" i="14"/>
  <c r="K14" i="14" s="1"/>
  <c r="F15" i="14"/>
  <c r="K15" i="14" s="1"/>
  <c r="F16" i="14"/>
  <c r="K16" i="14" s="1"/>
  <c r="F17" i="14"/>
  <c r="K17" i="14" s="1"/>
  <c r="F18" i="14"/>
  <c r="F19" i="14"/>
  <c r="F20" i="14"/>
  <c r="F21" i="14"/>
  <c r="F22" i="14"/>
  <c r="K22" i="14" s="1"/>
  <c r="F23" i="14"/>
  <c r="K23" i="14" s="1"/>
  <c r="F24" i="14"/>
  <c r="K24" i="14" s="1"/>
  <c r="F25" i="14"/>
  <c r="K25" i="14" s="1"/>
  <c r="F26" i="14"/>
  <c r="F27" i="14"/>
  <c r="F28" i="14"/>
  <c r="F29" i="14"/>
  <c r="F30" i="14"/>
  <c r="K30" i="14" s="1"/>
  <c r="K7" i="13"/>
  <c r="K8" i="13"/>
  <c r="K9" i="13"/>
  <c r="K10" i="13"/>
  <c r="K15" i="13"/>
  <c r="K16" i="13"/>
  <c r="K18" i="13"/>
  <c r="K23" i="13"/>
  <c r="K24" i="13"/>
  <c r="K26" i="13"/>
  <c r="G2" i="13"/>
  <c r="G3" i="13"/>
  <c r="G4" i="13"/>
  <c r="G7" i="13"/>
  <c r="G10" i="13"/>
  <c r="H10" i="13" s="1"/>
  <c r="I10" i="13" s="1"/>
  <c r="G15" i="13"/>
  <c r="G18" i="13"/>
  <c r="H18" i="13" s="1"/>
  <c r="I18" i="13" s="1"/>
  <c r="G23" i="13"/>
  <c r="G26" i="13"/>
  <c r="F2" i="13"/>
  <c r="H2" i="13" s="1"/>
  <c r="I2" i="13" s="1"/>
  <c r="J2" i="2"/>
  <c r="J3" i="2"/>
  <c r="J4" i="2"/>
  <c r="J5" i="2"/>
  <c r="K5" i="2" s="1"/>
  <c r="J6" i="2"/>
  <c r="J7" i="2"/>
  <c r="K7" i="2" s="1"/>
  <c r="J8" i="2"/>
  <c r="K8" i="2" s="1"/>
  <c r="J9" i="2"/>
  <c r="J10" i="2"/>
  <c r="J11" i="2"/>
  <c r="J12" i="2"/>
  <c r="K12" i="2" s="1"/>
  <c r="J13" i="2"/>
  <c r="K13" i="2" s="1"/>
  <c r="J14" i="2"/>
  <c r="K14" i="2" s="1"/>
  <c r="J15" i="2"/>
  <c r="K15" i="2" s="1"/>
  <c r="J16" i="2"/>
  <c r="K16" i="2" s="1"/>
  <c r="J17" i="2"/>
  <c r="J18" i="2"/>
  <c r="J19" i="2"/>
  <c r="J20" i="2"/>
  <c r="J21" i="2"/>
  <c r="J22" i="2"/>
  <c r="J23" i="2"/>
  <c r="K23" i="2" s="1"/>
  <c r="J24" i="2"/>
  <c r="J25" i="2"/>
  <c r="J26" i="2"/>
  <c r="J27" i="2"/>
  <c r="J28" i="2"/>
  <c r="J29" i="2"/>
  <c r="J30" i="2"/>
  <c r="K2" i="2"/>
  <c r="K4" i="2"/>
  <c r="K9" i="2"/>
  <c r="K17" i="2"/>
  <c r="K6" i="2"/>
  <c r="K22" i="2"/>
  <c r="L2" i="2"/>
  <c r="K3" i="2"/>
  <c r="K10" i="2"/>
  <c r="K11" i="2"/>
  <c r="K18" i="2"/>
  <c r="K19" i="2"/>
  <c r="K20" i="2"/>
  <c r="K21" i="2"/>
  <c r="K24" i="2"/>
  <c r="K25" i="2"/>
  <c r="K26" i="2"/>
  <c r="K27" i="2"/>
  <c r="K28" i="2"/>
  <c r="K29" i="2"/>
  <c r="K3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0" i="2"/>
  <c r="I21" i="2"/>
  <c r="I22" i="2"/>
  <c r="I23" i="2"/>
  <c r="I24" i="2"/>
  <c r="I25" i="2"/>
  <c r="I26" i="2"/>
  <c r="I27" i="2"/>
  <c r="I28" i="2"/>
  <c r="I29" i="2"/>
  <c r="I30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" i="13"/>
  <c r="H3" i="13" s="1"/>
  <c r="F4" i="13"/>
  <c r="F5" i="13"/>
  <c r="K5" i="13" s="1"/>
  <c r="F6" i="13"/>
  <c r="K6" i="13" s="1"/>
  <c r="F7" i="13"/>
  <c r="F8" i="13"/>
  <c r="G8" i="13" s="1"/>
  <c r="F9" i="13"/>
  <c r="F10" i="13"/>
  <c r="F11" i="13"/>
  <c r="G11" i="13" s="1"/>
  <c r="H11" i="13" s="1"/>
  <c r="I11" i="13" s="1"/>
  <c r="F12" i="13"/>
  <c r="K12" i="13" s="1"/>
  <c r="F13" i="13"/>
  <c r="K13" i="13" s="1"/>
  <c r="F14" i="13"/>
  <c r="K14" i="13" s="1"/>
  <c r="F15" i="13"/>
  <c r="F16" i="13"/>
  <c r="F17" i="13"/>
  <c r="F18" i="13"/>
  <c r="F19" i="13"/>
  <c r="G19" i="13" s="1"/>
  <c r="H19" i="13" s="1"/>
  <c r="I19" i="13" s="1"/>
  <c r="F20" i="13"/>
  <c r="K20" i="13" s="1"/>
  <c r="F21" i="13"/>
  <c r="G21" i="13" s="1"/>
  <c r="F22" i="13"/>
  <c r="K22" i="13" s="1"/>
  <c r="F23" i="13"/>
  <c r="F24" i="13"/>
  <c r="F25" i="13"/>
  <c r="K25" i="13" s="1"/>
  <c r="F26" i="13"/>
  <c r="F27" i="13"/>
  <c r="K27" i="13" s="1"/>
  <c r="F28" i="13"/>
  <c r="K28" i="13" s="1"/>
  <c r="F29" i="13"/>
  <c r="G29" i="13" s="1"/>
  <c r="F30" i="13"/>
  <c r="K30" i="13" s="1"/>
  <c r="H26" i="13"/>
  <c r="I26" i="13" s="1"/>
  <c r="M24" i="3" l="1"/>
  <c r="L24" i="3"/>
  <c r="I24" i="3"/>
  <c r="K19" i="3"/>
  <c r="F31" i="3"/>
  <c r="E7" i="6" s="1"/>
  <c r="K31" i="3"/>
  <c r="I7" i="6" s="1"/>
  <c r="G19" i="3"/>
  <c r="G31" i="3" s="1"/>
  <c r="M19" i="3"/>
  <c r="M31" i="3" s="1"/>
  <c r="C7" i="6" s="1"/>
  <c r="L31" i="7"/>
  <c r="K4" i="7"/>
  <c r="K31" i="7" s="1"/>
  <c r="K8" i="7"/>
  <c r="K12" i="7"/>
  <c r="K16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5" i="7"/>
  <c r="K9" i="7"/>
  <c r="K13" i="7"/>
  <c r="K18" i="7"/>
  <c r="K23" i="7"/>
  <c r="J31" i="7"/>
  <c r="M2" i="7"/>
  <c r="M3" i="7"/>
  <c r="M6" i="7"/>
  <c r="M7" i="7"/>
  <c r="M10" i="7"/>
  <c r="M11" i="7"/>
  <c r="M14" i="7"/>
  <c r="M15" i="7"/>
  <c r="M17" i="7"/>
  <c r="M19" i="7"/>
  <c r="M22" i="7"/>
  <c r="L8" i="4"/>
  <c r="I8" i="4"/>
  <c r="L21" i="4"/>
  <c r="I21" i="4"/>
  <c r="H31" i="4"/>
  <c r="G8" i="6" s="1"/>
  <c r="H8" i="6" s="1"/>
  <c r="L2" i="4"/>
  <c r="I2" i="4"/>
  <c r="I31" i="4" s="1"/>
  <c r="F8" i="6" s="1"/>
  <c r="L10" i="4"/>
  <c r="I10" i="4"/>
  <c r="I18" i="4"/>
  <c r="L18" i="4"/>
  <c r="L23" i="4"/>
  <c r="I23" i="4"/>
  <c r="L16" i="4"/>
  <c r="I16" i="4"/>
  <c r="L19" i="4"/>
  <c r="I19" i="4"/>
  <c r="L6" i="4"/>
  <c r="I6" i="4"/>
  <c r="L14" i="4"/>
  <c r="I14" i="4"/>
  <c r="L9" i="4"/>
  <c r="I9" i="4"/>
  <c r="L17" i="4"/>
  <c r="I17" i="4"/>
  <c r="L5" i="4"/>
  <c r="I5" i="4"/>
  <c r="I3" i="4"/>
  <c r="L3" i="4"/>
  <c r="I11" i="4"/>
  <c r="L11" i="4"/>
  <c r="L4" i="4"/>
  <c r="I4" i="4"/>
  <c r="I12" i="4"/>
  <c r="L12" i="4"/>
  <c r="L20" i="4"/>
  <c r="I20" i="4"/>
  <c r="I22" i="4"/>
  <c r="L22" i="4"/>
  <c r="L13" i="4"/>
  <c r="I13" i="4"/>
  <c r="I7" i="4"/>
  <c r="L7" i="4"/>
  <c r="I15" i="4"/>
  <c r="L15" i="4"/>
  <c r="K2" i="4"/>
  <c r="K31" i="4" s="1"/>
  <c r="K6" i="4"/>
  <c r="K10" i="4"/>
  <c r="K13" i="4"/>
  <c r="K17" i="4"/>
  <c r="K3" i="4"/>
  <c r="K8" i="4"/>
  <c r="K15" i="4"/>
  <c r="L25" i="4"/>
  <c r="L27" i="4"/>
  <c r="L29" i="4"/>
  <c r="L30" i="4"/>
  <c r="M2" i="4"/>
  <c r="M4" i="4"/>
  <c r="M5" i="4"/>
  <c r="M7" i="4"/>
  <c r="M9" i="4"/>
  <c r="M11" i="4"/>
  <c r="M12" i="4"/>
  <c r="M14" i="4"/>
  <c r="M16" i="4"/>
  <c r="M18" i="4"/>
  <c r="M19" i="4"/>
  <c r="M22" i="4"/>
  <c r="M23" i="4"/>
  <c r="M24" i="4"/>
  <c r="M26" i="4"/>
  <c r="M28" i="4"/>
  <c r="I5" i="3"/>
  <c r="I8" i="3"/>
  <c r="I11" i="3"/>
  <c r="I14" i="3"/>
  <c r="I18" i="3"/>
  <c r="I21" i="3"/>
  <c r="I26" i="3"/>
  <c r="I30" i="3"/>
  <c r="I28" i="3"/>
  <c r="L3" i="3"/>
  <c r="L6" i="3"/>
  <c r="L10" i="3"/>
  <c r="L12" i="3"/>
  <c r="L20" i="3"/>
  <c r="I2" i="3"/>
  <c r="I4" i="3"/>
  <c r="I9" i="3"/>
  <c r="I15" i="3"/>
  <c r="I17" i="3"/>
  <c r="I22" i="3"/>
  <c r="I25" i="3"/>
  <c r="I29" i="3"/>
  <c r="L7" i="3"/>
  <c r="L13" i="3"/>
  <c r="L16" i="3"/>
  <c r="L23" i="3"/>
  <c r="L27" i="3"/>
  <c r="I3" i="13"/>
  <c r="H17" i="13"/>
  <c r="I17" i="13" s="1"/>
  <c r="H9" i="13"/>
  <c r="I9" i="13" s="1"/>
  <c r="K29" i="13"/>
  <c r="K21" i="13"/>
  <c r="H24" i="13"/>
  <c r="I24" i="13" s="1"/>
  <c r="G25" i="13"/>
  <c r="H25" i="13" s="1"/>
  <c r="I25" i="13" s="1"/>
  <c r="G17" i="13"/>
  <c r="G9" i="13"/>
  <c r="G24" i="13"/>
  <c r="G16" i="13"/>
  <c r="K19" i="13"/>
  <c r="K11" i="13"/>
  <c r="G30" i="13"/>
  <c r="G22" i="13"/>
  <c r="G14" i="13"/>
  <c r="H14" i="13" s="1"/>
  <c r="I14" i="13" s="1"/>
  <c r="G6" i="13"/>
  <c r="K17" i="13"/>
  <c r="H28" i="13"/>
  <c r="I28" i="13" s="1"/>
  <c r="H20" i="13"/>
  <c r="I20" i="13" s="1"/>
  <c r="H12" i="13"/>
  <c r="I12" i="13" s="1"/>
  <c r="H4" i="13"/>
  <c r="I4" i="13" s="1"/>
  <c r="G13" i="13"/>
  <c r="H13" i="13" s="1"/>
  <c r="G5" i="13"/>
  <c r="H5" i="13" s="1"/>
  <c r="H27" i="13"/>
  <c r="I27" i="13" s="1"/>
  <c r="G28" i="13"/>
  <c r="G20" i="13"/>
  <c r="G12" i="13"/>
  <c r="G27" i="13"/>
  <c r="M2" i="13"/>
  <c r="I2" i="14"/>
  <c r="L2" i="14"/>
  <c r="G30" i="14"/>
  <c r="G22" i="14"/>
  <c r="G14" i="14"/>
  <c r="G6" i="14"/>
  <c r="G25" i="14"/>
  <c r="G17" i="14"/>
  <c r="G9" i="14"/>
  <c r="G24" i="14"/>
  <c r="G16" i="14"/>
  <c r="G23" i="14"/>
  <c r="K2" i="13"/>
  <c r="L2" i="13"/>
  <c r="H23" i="13"/>
  <c r="I23" i="13" s="1"/>
  <c r="H8" i="13"/>
  <c r="I8" i="13" s="1"/>
  <c r="H22" i="13"/>
  <c r="H15" i="13"/>
  <c r="H6" i="13"/>
  <c r="I6" i="13" s="1"/>
  <c r="H30" i="13"/>
  <c r="I30" i="13" s="1"/>
  <c r="H7" i="13"/>
  <c r="I7" i="13" s="1"/>
  <c r="H29" i="13"/>
  <c r="I29" i="13" s="1"/>
  <c r="H16" i="13"/>
  <c r="I16" i="13" s="1"/>
  <c r="H21" i="13"/>
  <c r="I21" i="13" s="1"/>
  <c r="H19" i="3" l="1"/>
  <c r="I31" i="7"/>
  <c r="F9" i="6" s="1"/>
  <c r="M31" i="7"/>
  <c r="M31" i="4"/>
  <c r="L31" i="4"/>
  <c r="I5" i="13"/>
  <c r="I13" i="13"/>
  <c r="I22" i="13"/>
  <c r="I15" i="13"/>
  <c r="I19" i="3" l="1"/>
  <c r="I31" i="3" s="1"/>
  <c r="F7" i="6" s="1"/>
  <c r="H31" i="3"/>
  <c r="G7" i="6" s="1"/>
  <c r="H7" i="6" s="1"/>
  <c r="L19" i="3"/>
  <c r="L31" i="3" s="1"/>
  <c r="E31" i="2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C36" i="2"/>
  <c r="M30" i="13" l="1"/>
  <c r="L30" i="13"/>
  <c r="M22" i="13"/>
  <c r="L22" i="13"/>
  <c r="M14" i="13"/>
  <c r="L14" i="13"/>
  <c r="M6" i="13"/>
  <c r="L6" i="13"/>
  <c r="M29" i="13"/>
  <c r="L29" i="13"/>
  <c r="M21" i="13"/>
  <c r="L21" i="13"/>
  <c r="M13" i="13"/>
  <c r="L13" i="13"/>
  <c r="M5" i="13"/>
  <c r="L5" i="13"/>
  <c r="M28" i="13"/>
  <c r="L28" i="13"/>
  <c r="M20" i="13"/>
  <c r="L20" i="13"/>
  <c r="M12" i="13"/>
  <c r="L12" i="13"/>
  <c r="M4" i="13"/>
  <c r="K4" i="13"/>
  <c r="L4" i="13"/>
  <c r="M19" i="13"/>
  <c r="L19" i="13"/>
  <c r="M3" i="13"/>
  <c r="L3" i="13"/>
  <c r="K3" i="13"/>
  <c r="M10" i="13"/>
  <c r="L10" i="13"/>
  <c r="M9" i="13"/>
  <c r="L9" i="13"/>
  <c r="L8" i="13"/>
  <c r="M8" i="13"/>
  <c r="M27" i="13"/>
  <c r="L27" i="13"/>
  <c r="M11" i="13"/>
  <c r="L11" i="13"/>
  <c r="M26" i="13"/>
  <c r="L26" i="13"/>
  <c r="M18" i="13"/>
  <c r="L18" i="13"/>
  <c r="M25" i="13"/>
  <c r="L25" i="13"/>
  <c r="M17" i="13"/>
  <c r="L17" i="13"/>
  <c r="M24" i="13"/>
  <c r="L24" i="13"/>
  <c r="M16" i="13"/>
  <c r="L16" i="13"/>
  <c r="M23" i="13"/>
  <c r="L23" i="13"/>
  <c r="M15" i="13"/>
  <c r="L15" i="13"/>
  <c r="M7" i="13"/>
  <c r="L7" i="13"/>
  <c r="H15" i="14"/>
  <c r="M15" i="14"/>
  <c r="L15" i="14" l="1"/>
  <c r="I15" i="14"/>
  <c r="C36" i="14"/>
  <c r="D31" i="14"/>
  <c r="E31" i="14"/>
  <c r="C36" i="13"/>
  <c r="H11" i="14" l="1"/>
  <c r="I11" i="14" s="1"/>
  <c r="M11" i="14"/>
  <c r="M8" i="14"/>
  <c r="H8" i="14"/>
  <c r="I8" i="14" s="1"/>
  <c r="M10" i="14"/>
  <c r="H10" i="14"/>
  <c r="I10" i="14" s="1"/>
  <c r="C40" i="7"/>
  <c r="C37" i="2"/>
  <c r="C37" i="14"/>
  <c r="J31" i="14"/>
  <c r="L10" i="14" l="1"/>
  <c r="H9" i="14"/>
  <c r="I9" i="14" s="1"/>
  <c r="M9" i="14"/>
  <c r="L11" i="14"/>
  <c r="L8" i="14"/>
  <c r="K31" i="14"/>
  <c r="L9" i="14" l="1"/>
  <c r="D31" i="2"/>
  <c r="J31" i="2" l="1"/>
  <c r="M3" i="14" l="1"/>
  <c r="H30" i="14"/>
  <c r="I30" i="14" s="1"/>
  <c r="H22" i="14"/>
  <c r="I22" i="14" s="1"/>
  <c r="M25" i="14"/>
  <c r="H23" i="14"/>
  <c r="I23" i="14" s="1"/>
  <c r="H27" i="14"/>
  <c r="I27" i="14" s="1"/>
  <c r="M24" i="14"/>
  <c r="H29" i="14"/>
  <c r="I29" i="14" s="1"/>
  <c r="M21" i="14"/>
  <c r="M17" i="14"/>
  <c r="H20" i="14"/>
  <c r="I20" i="14" s="1"/>
  <c r="M20" i="14"/>
  <c r="H4" i="14"/>
  <c r="I4" i="14" s="1"/>
  <c r="M4" i="14"/>
  <c r="M16" i="14"/>
  <c r="H16" i="14"/>
  <c r="I16" i="14" s="1"/>
  <c r="H19" i="14"/>
  <c r="I19" i="14" s="1"/>
  <c r="M19" i="14"/>
  <c r="M13" i="14"/>
  <c r="H13" i="14"/>
  <c r="I13" i="14" s="1"/>
  <c r="M7" i="14"/>
  <c r="H7" i="14"/>
  <c r="I7" i="14" s="1"/>
  <c r="M5" i="14"/>
  <c r="H5" i="14"/>
  <c r="I5" i="14" s="1"/>
  <c r="M26" i="14"/>
  <c r="H26" i="14"/>
  <c r="I26" i="14" s="1"/>
  <c r="M6" i="14"/>
  <c r="H6" i="14"/>
  <c r="I6" i="14" s="1"/>
  <c r="H14" i="14"/>
  <c r="I14" i="14" s="1"/>
  <c r="M14" i="14"/>
  <c r="H28" i="14"/>
  <c r="I28" i="14" s="1"/>
  <c r="M28" i="14"/>
  <c r="H12" i="14"/>
  <c r="I12" i="14" s="1"/>
  <c r="M12" i="14"/>
  <c r="C37" i="13"/>
  <c r="K31" i="2"/>
  <c r="H3" i="14" l="1"/>
  <c r="I3" i="14" s="1"/>
  <c r="H25" i="14"/>
  <c r="M23" i="14"/>
  <c r="M29" i="14"/>
  <c r="H21" i="14"/>
  <c r="M22" i="14"/>
  <c r="M30" i="14"/>
  <c r="H17" i="14"/>
  <c r="I17" i="14" s="1"/>
  <c r="M27" i="14"/>
  <c r="H24" i="14"/>
  <c r="I24" i="14" s="1"/>
  <c r="H18" i="14"/>
  <c r="I18" i="14" s="1"/>
  <c r="M18" i="14"/>
  <c r="L30" i="14"/>
  <c r="L29" i="14"/>
  <c r="L27" i="14"/>
  <c r="L16" i="14"/>
  <c r="L13" i="14"/>
  <c r="L6" i="14"/>
  <c r="L26" i="14"/>
  <c r="L23" i="14"/>
  <c r="L20" i="14"/>
  <c r="L22" i="14"/>
  <c r="L7" i="14"/>
  <c r="L3" i="14"/>
  <c r="L12" i="14"/>
  <c r="L4" i="14"/>
  <c r="L14" i="14"/>
  <c r="L5" i="14"/>
  <c r="L28" i="14"/>
  <c r="L19" i="14"/>
  <c r="J31" i="13"/>
  <c r="E31" i="13"/>
  <c r="D31" i="13"/>
  <c r="L21" i="14" l="1"/>
  <c r="I21" i="14"/>
  <c r="L25" i="14"/>
  <c r="I25" i="14"/>
  <c r="L17" i="14"/>
  <c r="L24" i="14"/>
  <c r="L18" i="14"/>
  <c r="K31" i="13"/>
  <c r="G31" i="13"/>
  <c r="M31" i="13"/>
  <c r="F31" i="13"/>
  <c r="H31" i="13" l="1"/>
  <c r="L31" i="13"/>
  <c r="I31" i="13"/>
  <c r="M31" i="14"/>
  <c r="F31" i="14"/>
  <c r="L31" i="14"/>
  <c r="G31" i="14"/>
  <c r="H31" i="14"/>
  <c r="I31" i="14"/>
  <c r="C9" i="6" l="1"/>
  <c r="C8" i="6"/>
  <c r="M2" i="2" l="1"/>
  <c r="H4" i="2"/>
  <c r="L4" i="2"/>
  <c r="H16" i="2"/>
  <c r="L16" i="2" s="1"/>
  <c r="M8" i="2"/>
  <c r="H8" i="2"/>
  <c r="H7" i="2"/>
  <c r="M7" i="2"/>
  <c r="M4" i="2"/>
  <c r="H17" i="2"/>
  <c r="L17" i="2" s="1"/>
  <c r="M17" i="2"/>
  <c r="M9" i="2"/>
  <c r="H9" i="2"/>
  <c r="M16" i="2"/>
  <c r="H15" i="2"/>
  <c r="M15" i="2"/>
  <c r="H14" i="2"/>
  <c r="M14" i="2"/>
  <c r="H6" i="2"/>
  <c r="M6" i="2"/>
  <c r="H13" i="2"/>
  <c r="M13" i="2"/>
  <c r="H5" i="2"/>
  <c r="M5" i="2"/>
  <c r="M12" i="2"/>
  <c r="H12" i="2"/>
  <c r="L12" i="2" s="1"/>
  <c r="H19" i="2"/>
  <c r="M19" i="2"/>
  <c r="H11" i="2"/>
  <c r="M11" i="2"/>
  <c r="H18" i="2"/>
  <c r="I18" i="2" s="1"/>
  <c r="M18" i="2"/>
  <c r="M10" i="2"/>
  <c r="H10" i="2"/>
  <c r="L19" i="2" l="1"/>
  <c r="I19" i="2"/>
  <c r="L8" i="2"/>
  <c r="L14" i="2"/>
  <c r="L7" i="2"/>
  <c r="L5" i="2"/>
  <c r="L11" i="2"/>
  <c r="L18" i="2"/>
  <c r="L6" i="2"/>
  <c r="L9" i="2"/>
  <c r="L13" i="2"/>
  <c r="L10" i="2"/>
  <c r="L15" i="2"/>
  <c r="M3" i="2" l="1"/>
  <c r="H3" i="2" l="1"/>
  <c r="L3" i="2" l="1"/>
  <c r="H25" i="2" l="1"/>
  <c r="M25" i="2"/>
  <c r="H27" i="2"/>
  <c r="L27" i="2"/>
  <c r="G31" i="2"/>
  <c r="H21" i="2"/>
  <c r="M27" i="2"/>
  <c r="H30" i="2"/>
  <c r="M30" i="2"/>
  <c r="H26" i="2"/>
  <c r="M26" i="2"/>
  <c r="M28" i="2"/>
  <c r="H28" i="2"/>
  <c r="M21" i="2"/>
  <c r="F31" i="2"/>
  <c r="M29" i="2"/>
  <c r="H29" i="2"/>
  <c r="H23" i="2"/>
  <c r="H24" i="2"/>
  <c r="L24" i="2" s="1"/>
  <c r="H22" i="2"/>
  <c r="M22" i="2"/>
  <c r="M20" i="2"/>
  <c r="M23" i="2"/>
  <c r="M24" i="2"/>
  <c r="H20" i="2"/>
  <c r="M31" i="2" l="1"/>
  <c r="L30" i="2"/>
  <c r="L29" i="2"/>
  <c r="L28" i="2"/>
  <c r="L26" i="2"/>
  <c r="L22" i="2"/>
  <c r="H31" i="2"/>
  <c r="G6" i="6" s="1"/>
  <c r="H6" i="6" s="1"/>
  <c r="L25" i="2"/>
  <c r="L20" i="2"/>
  <c r="L23" i="2"/>
  <c r="I31" i="2"/>
  <c r="F6" i="6" s="1"/>
  <c r="L21" i="2"/>
  <c r="L31" i="2" l="1"/>
</calcChain>
</file>

<file path=xl/sharedStrings.xml><?xml version="1.0" encoding="utf-8"?>
<sst xmlns="http://schemas.openxmlformats.org/spreadsheetml/2006/main" count="723" uniqueCount="73">
  <si>
    <t>Mois</t>
  </si>
  <si>
    <t>Octobre</t>
  </si>
  <si>
    <t>Novembre</t>
  </si>
  <si>
    <t>Décembre</t>
  </si>
  <si>
    <t>Janvier</t>
  </si>
  <si>
    <t>Février</t>
  </si>
  <si>
    <t>Charge Initiale</t>
  </si>
  <si>
    <t>Tâche</t>
  </si>
  <si>
    <t>Qui</t>
  </si>
  <si>
    <t>TPS Période(h)</t>
  </si>
  <si>
    <t>TPS Cumul (h)</t>
  </si>
  <si>
    <t>CR (h)</t>
  </si>
  <si>
    <t>Coût Initial (€)</t>
  </si>
  <si>
    <t>Coût Révisé (€)</t>
  </si>
  <si>
    <t>Coût Réel</t>
  </si>
  <si>
    <t>Chef de projet</t>
  </si>
  <si>
    <t>Spécifications</t>
  </si>
  <si>
    <t>Total</t>
  </si>
  <si>
    <t>Septembre</t>
  </si>
  <si>
    <t>Rôles</t>
  </si>
  <si>
    <t>Chef de Projet</t>
  </si>
  <si>
    <t>Ecart charge total</t>
  </si>
  <si>
    <t>PRU</t>
  </si>
  <si>
    <t>Phase</t>
  </si>
  <si>
    <t>Initialisation</t>
  </si>
  <si>
    <t>Conception générale</t>
  </si>
  <si>
    <t>Conception détaillé</t>
  </si>
  <si>
    <t>Réalisation</t>
  </si>
  <si>
    <t>Tests unitaires</t>
  </si>
  <si>
    <t>Test d'intégration</t>
  </si>
  <si>
    <t>Validation</t>
  </si>
  <si>
    <t>Livraison</t>
  </si>
  <si>
    <t>Temps passé cumulé</t>
  </si>
  <si>
    <t>Charge Révisée totale</t>
  </si>
  <si>
    <t>Coût initial</t>
  </si>
  <si>
    <t>Avancement (%) TP/CI</t>
  </si>
  <si>
    <t>Quantité d'heure</t>
  </si>
  <si>
    <t>Validation Liste</t>
  </si>
  <si>
    <t>Oui</t>
  </si>
  <si>
    <t>Non</t>
  </si>
  <si>
    <t>Fiche d'Ouverture de Projet</t>
  </si>
  <si>
    <t>Plan de développement</t>
  </si>
  <si>
    <t>SPEC</t>
  </si>
  <si>
    <t>Analyse norme IEC61131</t>
  </si>
  <si>
    <t>Analyse norme IEC61499</t>
  </si>
  <si>
    <t>Analyse du fonctionnement du centre de tri de pièce FactoryIO</t>
  </si>
  <si>
    <t>Méthodologie de programmation du centre de tri de pièce (Norme IEC61131)</t>
  </si>
  <si>
    <t>Méthodologie de programmation du centre de tri de pièce (Norme IEC61499)</t>
  </si>
  <si>
    <t>Fonctionnement général du centre de tri de pièce</t>
  </si>
  <si>
    <t>Liste des capteurs Centre de tri de pièce</t>
  </si>
  <si>
    <t>Fonctionnement détaillé du centre de tri de pièce FactoryIO</t>
  </si>
  <si>
    <t>Tâble des variables centre de tri de pièce FactoryIO</t>
  </si>
  <si>
    <t>Programmation du centre de tri de pièce sur ECE</t>
  </si>
  <si>
    <t>Programmation du centre de tri de pièce sur EAE</t>
  </si>
  <si>
    <t>Rédaction du document de méthodologie de programmation sur la norme IEC61499</t>
  </si>
  <si>
    <t>Test unitaire programme EAE</t>
  </si>
  <si>
    <t>Test unitaire programme ECE</t>
  </si>
  <si>
    <t>Test d'intégration FactoryIO et programme ECE</t>
  </si>
  <si>
    <t>Test d'intégration FactoryIO et programme EAE</t>
  </si>
  <si>
    <t>Validation du fonctionnement avec le client</t>
  </si>
  <si>
    <t>Rédaction du document de comparaison norme IEC61131 et IEC 61499</t>
  </si>
  <si>
    <t>Validation du document de comparaison par le client</t>
  </si>
  <si>
    <t>Correction (optionnel)</t>
  </si>
  <si>
    <t>Remise du simulateur fonctionnel EAE et Factory IO (IEC61499)</t>
  </si>
  <si>
    <t>Remise du simulateur fonctionnel EAE et Factory IO (IEC61131)</t>
  </si>
  <si>
    <t>IEC61499 - Bloc fonctionnel général</t>
  </si>
  <si>
    <t>IEC61131 - Grafcet de niveau 1</t>
  </si>
  <si>
    <t>IEC 61131 - Grafcet de niveau 2</t>
  </si>
  <si>
    <t>IEC 61499 - Bloc fonctionnel détaillée</t>
  </si>
  <si>
    <t>Charge Initiale (h)</t>
  </si>
  <si>
    <t xml:space="preserve">Reste à passer (h) </t>
  </si>
  <si>
    <t xml:space="preserve"> Ecart de charge (h)</t>
  </si>
  <si>
    <t>Prix de revien unitaire(€)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</si>
</sst>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1" fillId="0" borderId="5" xfId="0" applyFont="1" applyBorder="1"/>
    <xf numFmtId="0" fontId="3" fillId="7" borderId="4" xfId="0" applyFont="1" applyFill="1" applyBorder="1" applyAlignment="1">
      <alignment horizontal="center"/>
    </xf>
    <xf numFmtId="10" fontId="0" fillId="0" borderId="4" xfId="0" applyNumberFormat="1" applyBorder="1"/>
    <xf numFmtId="0" fontId="4" fillId="0" borderId="1" xfId="0" applyFont="1" applyBorder="1"/>
    <xf numFmtId="0" fontId="4" fillId="0" borderId="3" xfId="0" applyFont="1" applyBorder="1"/>
    <xf numFmtId="0" fontId="0" fillId="3" borderId="0" xfId="0" applyFill="1"/>
    <xf numFmtId="0" fontId="1" fillId="3" borderId="4" xfId="0" applyFont="1" applyFill="1" applyBorder="1" applyAlignment="1">
      <alignment horizontal="center"/>
    </xf>
    <xf numFmtId="0" fontId="4" fillId="8" borderId="5" xfId="0" applyFont="1" applyFill="1" applyBorder="1"/>
    <xf numFmtId="0" fontId="1" fillId="0" borderId="9" xfId="0" applyFont="1" applyBorder="1" applyAlignment="1">
      <alignment horizontal="center"/>
    </xf>
    <xf numFmtId="0" fontId="4" fillId="8" borderId="4" xfId="0" applyFont="1" applyFill="1" applyBorder="1"/>
    <xf numFmtId="0" fontId="5" fillId="0" borderId="4" xfId="0" applyFont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2" borderId="5" xfId="0" applyFont="1" applyFill="1" applyBorder="1"/>
    <xf numFmtId="10" fontId="0" fillId="0" borderId="0" xfId="0" applyNumberFormat="1"/>
    <xf numFmtId="0" fontId="6" fillId="10" borderId="5" xfId="0" applyFont="1" applyFill="1" applyBorder="1"/>
    <xf numFmtId="0" fontId="6" fillId="10" borderId="10" xfId="0" applyFont="1" applyFill="1" applyBorder="1"/>
    <xf numFmtId="0" fontId="7" fillId="11" borderId="4" xfId="0" applyFont="1" applyFill="1" applyBorder="1"/>
    <xf numFmtId="0" fontId="7" fillId="0" borderId="4" xfId="0" applyFont="1" applyBorder="1"/>
    <xf numFmtId="0" fontId="7" fillId="12" borderId="4" xfId="0" applyFont="1" applyFill="1" applyBorder="1"/>
    <xf numFmtId="0" fontId="7" fillId="0" borderId="7" xfId="0" applyFont="1" applyBorder="1"/>
    <xf numFmtId="0" fontId="7" fillId="0" borderId="0" xfId="0" applyFont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1" xfId="0" applyFont="1" applyBorder="1"/>
    <xf numFmtId="0" fontId="0" fillId="3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2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Synthèse!$H$3</c:f>
              <c:strCache>
                <c:ptCount val="1"/>
                <c:pt idx="0">
                  <c:v>Avancement (%) TP/CI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Synthèse!$H$4:$H$9</c:f>
              <c:numCache>
                <c:formatCode>0.00%</c:formatCode>
                <c:ptCount val="6"/>
                <c:pt idx="0">
                  <c:v>0.1391304347826087</c:v>
                </c:pt>
                <c:pt idx="1">
                  <c:v>0.26363636363636361</c:v>
                </c:pt>
                <c:pt idx="2">
                  <c:v>0.66386554621848737</c:v>
                </c:pt>
                <c:pt idx="3">
                  <c:v>0.74380165289256195</c:v>
                </c:pt>
                <c:pt idx="4">
                  <c:v>0.66386554621848737</c:v>
                </c:pt>
                <c:pt idx="5">
                  <c:v>0.66386554621848737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206-9358-6B569B9272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6492432"/>
        <c:axId val="836493152"/>
      </c:lineChart>
      <c:catAx>
        <c:axId val="8364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3152"/>
        <c:crosses val="autoZero"/>
        <c:auto val="1"/>
        <c:lblAlgn val="ctr"/>
        <c:lblOffset val="100"/>
        <c:noMultiLvlLbl val="0"/>
      </c:catAx>
      <c:valAx>
        <c:axId val="836493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Coûts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Synthèse!$C$3</c:f>
              <c:strCache>
                <c:ptCount val="1"/>
                <c:pt idx="0">
                  <c:v>Coût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Synthèse!$C$4:$C$9</c:f>
              <c:numCache>
                <c:formatCode>General</c:formatCode>
                <c:ptCount val="6"/>
                <c:pt idx="0">
                  <c:v>1088</c:v>
                </c:pt>
                <c:pt idx="1">
                  <c:v>1972</c:v>
                </c:pt>
                <c:pt idx="2">
                  <c:v>5372</c:v>
                </c:pt>
                <c:pt idx="3">
                  <c:v>6120</c:v>
                </c:pt>
                <c:pt idx="4">
                  <c:v>5372</c:v>
                </c:pt>
                <c:pt idx="5">
                  <c:v>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1-4446-A4A1-624F855EC1E4}"/>
            </c:ext>
          </c:extLst>
        </c:ser>
        <c:ser>
          <c:idx val="1"/>
          <c:order val="1"/>
          <c:tx>
            <c:strRef>
              <c:f>Synthèse!$I$3</c:f>
              <c:strCache>
                <c:ptCount val="1"/>
                <c:pt idx="0">
                  <c:v>Coût initial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8-4E19-8871-17E92F81BC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8-4E19-8871-17E92F81B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8-4E19-8871-17E92F81B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8-4E19-8871-17E92F81B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365345640544863"/>
                      <c:h val="0.176495036362931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88-4E19-8871-17E92F81B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Synthèse!$I$4:$I$9</c:f>
              <c:numCache>
                <c:formatCode>General</c:formatCode>
                <c:ptCount val="6"/>
                <c:pt idx="0">
                  <c:v>1088</c:v>
                </c:pt>
                <c:pt idx="1">
                  <c:v>2516</c:v>
                </c:pt>
                <c:pt idx="2">
                  <c:v>6188</c:v>
                </c:pt>
                <c:pt idx="3">
                  <c:v>6324</c:v>
                </c:pt>
                <c:pt idx="4">
                  <c:v>6188</c:v>
                </c:pt>
                <c:pt idx="5">
                  <c:v>6188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1-4446-A4A1-624F855EC1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7868824"/>
        <c:axId val="837864864"/>
      </c:lineChart>
      <c:catAx>
        <c:axId val="83786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4864"/>
        <c:crosses val="autoZero"/>
        <c:auto val="1"/>
        <c:lblAlgn val="ctr"/>
        <c:lblOffset val="100"/>
        <c:noMultiLvlLbl val="0"/>
      </c:catAx>
      <c:valAx>
        <c:axId val="8378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Ecart charge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Synthèse!$F$4:$F$9</c:f>
              <c:numCache>
                <c:formatCode>General</c:formatCode>
                <c:ptCount val="6"/>
                <c:pt idx="0">
                  <c:v>0</c:v>
                </c:pt>
                <c:pt idx="1">
                  <c:v>-5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1-4298-8ABF-D0620FD769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8053791"/>
        <c:axId val="838062431"/>
      </c:lineChart>
      <c:catAx>
        <c:axId val="8380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62431"/>
        <c:crosses val="autoZero"/>
        <c:auto val="1"/>
        <c:lblAlgn val="ctr"/>
        <c:lblOffset val="100"/>
        <c:noMultiLvlLbl val="0"/>
      </c:catAx>
      <c:valAx>
        <c:axId val="8380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847924</xdr:colOff>
      <xdr:row>12</xdr:row>
      <xdr:rowOff>24208</xdr:rowOff>
    </xdr:from>
    <xdr:to>
      <xdr:col>7</xdr:col>
      <xdr:colOff>1143000</xdr:colOff>
      <xdr:row>27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E7C97A-C03A-48A8-B02A-F07A633B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139502</xdr:colOff>
      <xdr:row>12</xdr:row>
      <xdr:rowOff>16272</xdr:rowOff>
    </xdr:from>
    <xdr:to>
      <xdr:col>3</xdr:col>
      <xdr:colOff>539750</xdr:colOff>
      <xdr:row>26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083FAC-1E9D-9FD7-6B9A-B81F4639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1463675</xdr:colOff>
      <xdr:row>12</xdr:row>
      <xdr:rowOff>15875</xdr:rowOff>
    </xdr:from>
    <xdr:to>
      <xdr:col>13</xdr:col>
      <xdr:colOff>676275</xdr:colOff>
      <xdr:row>26</xdr:row>
      <xdr:rowOff>187325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E132B-FF5B-61C1-5B4E-81A5CC3E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3744-8D5A-46F5-AA97-C9B422BD0D1F}" name="Septembre" displayName="Septembre" ref="B1:M31" totalsRowCount="1" headerRowDxfId="266" dataDxfId="264" headerRowBorderDxfId="265" tableBorderDxfId="263">
  <autoFilter ref="B1:M30" xr:uid="{440A3744-8D5A-46F5-AA97-C9B422BD0D1F}"/>
  <tableColumns count="12">
    <tableColumn id="1" xr3:uid="{97048463-914E-4E71-899C-76482CCB2C44}" name="Tâche" totalsRowLabel="Total" totalsRowDxfId="262"/>
    <tableColumn id="11" xr3:uid="{4BFBC204-AA89-4602-9E59-84856EE959ED}" name="Qui" dataDxfId="261" totalsRowDxfId="260"/>
    <tableColumn id="2" xr3:uid="{76B9C57E-5ECA-4A3D-93E1-B8FFF04F5B11}" name="Charge Initiale (h)" totalsRowFunction="sum" dataDxfId="259" totalsRowDxfId="258"/>
    <tableColumn id="3" xr3:uid="{BEC0BCD5-FE1D-4FC8-8269-940A08E66084}" name="TPS Période(h)" totalsRowFunction="sum" dataDxfId="257" totalsRowDxfId="256"/>
    <tableColumn id="10" xr3:uid="{11D169F4-5914-4E75-A26C-2FEF6011DC9D}" name="TPS Cumul (h)" totalsRowFunction="sum" dataDxfId="255" totalsRowDxfId="254">
      <calculatedColumnFormula>Septembre[[#This Row],[TPS Période(h)]]</calculatedColumnFormula>
    </tableColumn>
    <tableColumn id="4" xr3:uid="{67127178-B079-4D11-8494-79BD60908F36}" name="Reste à passer (h) " totalsRowFunction="sum" dataDxfId="253" totalsRowDxfId="252">
      <calculatedColumnFormula>IF(N2="Non",MAX(Septembre[[#This Row],[Charge Initiale (h)]]-Septembre[[#This Row],[TPS Cumul (h)]],0),0)</calculatedColumnFormula>
    </tableColumn>
    <tableColumn id="5" xr3:uid="{C9A1B790-E893-4A05-A3AF-41AF5BA0EDD9}" name="CR (h)" totalsRowFunction="sum" dataDxfId="251" totalsRowDxfId="250">
      <calculatedColumnFormula>Septembre[[#This Row],[TPS Cumul (h)]]+Septembre[[#This Row],[Reste à passer (h) ]]</calculatedColumnFormula>
    </tableColumn>
    <tableColumn id="6" xr3:uid="{C58085A2-2576-4177-8B55-94D78BE58A38}" name=" Ecart de charge (h)" totalsRowFunction="sum" dataDxfId="249" totalsRowDxfId="248">
      <calculatedColumnFormula>Septembre[[#This Row],[CR (h)]] - Septembre[[#This Row],[Charge Initiale (h)]]</calculatedColumnFormula>
    </tableColumn>
    <tableColumn id="7" xr3:uid="{D12D9132-08E2-4999-9183-12EA949645C0}" name="Prix de revien unitaire(€)" totalsRowFunction="sum" dataDxfId="247" totalsRowDxfId="246">
      <calculatedColumnFormula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calculatedColumnFormula>
    </tableColumn>
    <tableColumn id="9" xr3:uid="{F46F5BD8-68AA-498F-B317-2D5848E086E8}" name="Coût Initial (€)" totalsRowFunction="sum" dataDxfId="245" totalsRowDxfId="244">
      <calculatedColumnFormula>IF(Septembre[[#This Row],[TPS Cumul (h)]]&gt;0,Septembre[[#This Row],[Charge Initiale (h)]]*Septembre[[#This Row],[Prix de revien unitaire(€)]],0)</calculatedColumnFormula>
    </tableColumn>
    <tableColumn id="8" xr3:uid="{020C3B07-B752-40E8-B385-36CA11990C0C}" name="Coût Révisé (€)" totalsRowFunction="sum" dataDxfId="243" totalsRowDxfId="242">
      <calculatedColumnFormula>Septembre[[#This Row],[CR (h)]]*Septembre[[#This Row],[Prix de revien unitaire(€)]]</calculatedColumnFormula>
    </tableColumn>
    <tableColumn id="12" xr3:uid="{3FDEFECF-8154-4581-859B-580BE23A82CE}" name="Coût Réel" totalsRowFunction="sum" dataDxfId="241" totalsRowDxfId="240">
      <calculatedColumnFormula>Septembre[[#This Row],[Prix de revien unitaire(€)]]*Septembre[[#This Row],[TPS Cumul (h)]]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858E53-053B-4DF3-9044-F6278BE8F71B}" name="Octobre" displayName="Octobre" ref="B1:M31" totalsRowCount="1" headerRowDxfId="239" dataDxfId="237" headerRowBorderDxfId="238" tableBorderDxfId="236">
  <autoFilter ref="B1:M30" xr:uid="{3F858E53-053B-4DF3-9044-F6278BE8F71B}"/>
  <tableColumns count="12">
    <tableColumn id="1" xr3:uid="{2101F99C-EA0F-46CA-9FBF-536693CCD3A0}" name="Tâche" totalsRowLabel="Total" totalsRowDxfId="235"/>
    <tableColumn id="11" xr3:uid="{750A509C-EECA-4774-B11A-710E74628955}" name="Qui" dataDxfId="234" totalsRowDxfId="233"/>
    <tableColumn id="2" xr3:uid="{4366C649-7332-477E-BA69-6573DD868C11}" name="Charge Initiale (h)" totalsRowFunction="sum" dataDxfId="232" totalsRowDxfId="231"/>
    <tableColumn id="3" xr3:uid="{F6698FA8-B003-4832-925A-E1D5E60F4446}" name="TPS Période(h)" totalsRowFunction="sum" dataDxfId="230" totalsRowDxfId="229"/>
    <tableColumn id="10" xr3:uid="{830FD1C3-942D-4F09-9A95-6287BB6835DD}" name="TPS Cumul (h)" totalsRowFunction="sum" dataDxfId="228" totalsRowDxfId="227">
      <calculatedColumnFormula>Octobre[[#This Row],[TPS Période(h)]]</calculatedColumnFormula>
    </tableColumn>
    <tableColumn id="4" xr3:uid="{FDBA80E1-638A-4D63-9CA7-C292F9A66450}" name="Reste à passer (h) " totalsRowFunction="sum" dataDxfId="226" totalsRowDxfId="225">
      <calculatedColumnFormula>IF(N2="Non",MAX(Octobre[[#This Row],[Charge Initiale (h)]]-Octobre[[#This Row],[TPS Cumul (h)]],0),0)</calculatedColumnFormula>
    </tableColumn>
    <tableColumn id="5" xr3:uid="{A50E7CD9-39C6-4E0D-AEAA-03F9BE0975ED}" name="CR (h)" totalsRowFunction="sum" dataDxfId="224" totalsRowDxfId="223">
      <calculatedColumnFormula>Octobre[[#This Row],[TPS Cumul (h)]]+Octobre[[#This Row],[Reste à passer (h) ]]</calculatedColumnFormula>
    </tableColumn>
    <tableColumn id="6" xr3:uid="{561F191E-567F-45B6-84F8-9E5C246ACF8D}" name=" Ecart de charge (h)" totalsRowFunction="sum" dataDxfId="222" totalsRowDxfId="221">
      <calculatedColumnFormula>Octobre[[#This Row],[CR (h)]] - Octobre[[#This Row],[Charge Initiale (h)]]</calculatedColumnFormula>
    </tableColumn>
    <tableColumn id="7" xr3:uid="{6B0DB239-6A3C-40FA-A572-68BD6F83360C}" name="Prix de revien unitaire(€)" totalsRowFunction="sum" dataDxfId="220" totalsRowDxfId="219">
      <calculatedColumnFormula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91BDD92B-CF4D-487F-9010-18C10C85434D}" name="Coût Initial (€)" totalsRowFunction="sum" dataDxfId="218" totalsRowDxfId="217">
      <calculatedColumnFormula>IF(Octobre[[#This Row],[TPS Cumul (h)]]&gt;0,Octobre[[#This Row],[Charge Initiale (h)]]*Octobre[[#This Row],[Prix de revien unitaire(€)]],0)</calculatedColumnFormula>
    </tableColumn>
    <tableColumn id="8" xr3:uid="{AA5D73F3-663C-4335-8584-F3172EEC471D}" name="Coût Révisé (€)" totalsRowFunction="sum" dataDxfId="216" totalsRowDxfId="215">
      <calculatedColumnFormula>Octobre[[#This Row],[CR (h)]]*Octobre[[#This Row],[Prix de revien unitaire(€)]]</calculatedColumnFormula>
    </tableColumn>
    <tableColumn id="12" xr3:uid="{4943EA6C-9E33-4226-984F-F39729D2E460}" name="Coût Réel" totalsRowFunction="sum" dataDxfId="214" totalsRowDxfId="213">
      <calculatedColumnFormula>Octobre[[#This Row],[Prix de revien unitaire(€)]]*Octobre[[#This Row],[TPS Cumul (h)]]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EBB5F-6102-4118-B0B2-6E88F2B43387}" name="Novembre" displayName="Novembre" ref="B1:N31" totalsRowCount="1" headerRowDxfId="212" dataDxfId="210" headerRowBorderDxfId="211" tableBorderDxfId="209">
  <autoFilter ref="B1:N30" xr:uid="{EEFEBB5F-6102-4118-B0B2-6E88F2B43387}"/>
  <tableColumns count="13">
    <tableColumn id="1" xr3:uid="{86E0D464-B6E4-4A39-AB29-B042C254D4ED}" name="Tâche" totalsRowLabel="Total" dataDxfId="208" totalsRowDxfId="207"/>
    <tableColumn id="11" xr3:uid="{DBE98C2A-59EB-4056-BFC2-B00B5E38F3F3}" name="Qui" dataDxfId="206" totalsRowDxfId="205"/>
    <tableColumn id="2" xr3:uid="{C65FF9F7-A988-4ED6-8A39-ADBCA5298F00}" name="Charge Initiale (h)" totalsRowFunction="sum" dataDxfId="204" totalsRowDxfId="203"/>
    <tableColumn id="3" xr3:uid="{1A9AFC11-DE95-46FD-840A-3DE50AAE7D6F}" name="TPS Période(h)" totalsRowFunction="sum" dataDxfId="202" totalsRowDxfId="201"/>
    <tableColumn id="10" xr3:uid="{DB6E5B42-9E5A-465D-BF52-66522F687E8D}" name="TPS Cumul (h)" totalsRowFunction="sum" dataDxfId="200" totalsRowDxfId="199">
      <calculatedColumnFormula>Novembre[[#This Row],[TPS Période(h)]]</calculatedColumnFormula>
    </tableColumn>
    <tableColumn id="4" xr3:uid="{B272441A-F283-44E4-98CE-3A60797E5767}" name="Reste à passer (h) " totalsRowFunction="sum" dataDxfId="198" totalsRowDxfId="197">
      <calculatedColumnFormula>IF(N2="Non",MAX(Novembre[[#This Row],[Charge Initiale (h)]]-Novembre[[#This Row],[TPS Cumul (h)]],0),0)</calculatedColumnFormula>
    </tableColumn>
    <tableColumn id="5" xr3:uid="{E8EF3EF7-4E68-487B-B27F-0EFC05AFF678}" name="CR (h)" totalsRowFunction="sum" dataDxfId="196" totalsRowDxfId="195">
      <calculatedColumnFormula>Novembre[[#This Row],[TPS Cumul (h)]]+Novembre[[#This Row],[Reste à passer (h) ]]</calculatedColumnFormula>
    </tableColumn>
    <tableColumn id="6" xr3:uid="{D1DCFFE0-78E1-4114-854C-756CD01632FD}" name=" Ecart de charge (h)" totalsRowFunction="sum" dataDxfId="194" totalsRowDxfId="193">
      <calculatedColumnFormula>Novembre[[#This Row],[CR (h)]] - Novembre[[#This Row],[Charge Initiale (h)]]</calculatedColumnFormula>
    </tableColumn>
    <tableColumn id="7" xr3:uid="{68D63153-636D-44FD-9BB3-4FAE3C1669CD}" name="Prix de revien unitaire(€)" totalsRowFunction="sum" dataDxfId="192" totalsRowDxfId="191">
      <calculatedColumnFormula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calculatedColumnFormula>
    </tableColumn>
    <tableColumn id="9" xr3:uid="{01301F18-5144-43D9-AE20-790FFEDD42B7}" name="Coût Initial (€)" totalsRowFunction="sum" dataDxfId="190" totalsRowDxfId="189">
      <calculatedColumnFormula>IF(Novembre[[#This Row],[TPS Cumul (h)]]&gt;0,Novembre[[#This Row],[Charge Initiale (h)]]*Novembre[[#This Row],[Prix de revien unitaire(€)]],0)</calculatedColumnFormula>
    </tableColumn>
    <tableColumn id="8" xr3:uid="{22968E9A-9F58-46ED-9501-CBF574188612}" name="Coût Révisé (€)" totalsRowFunction="sum" dataDxfId="188" totalsRowDxfId="187">
      <calculatedColumnFormula>Novembre[[#This Row],[CR (h)]]*Novembre[[#This Row],[Prix de revien unitaire(€)]]</calculatedColumnFormula>
    </tableColumn>
    <tableColumn id="12" xr3:uid="{0157EB0B-7CAB-45DD-9DFA-1823238ABC31}" name="Coût Réel" totalsRowFunction="sum" dataDxfId="186" totalsRowDxfId="185">
      <calculatedColumnFormula>Novembre[[#This Row],[Prix de revien unitaire(€)]]*Novembre[[#This Row],[TPS Cumul (h)]]</calculatedColumnFormula>
    </tableColumn>
    <tableColumn id="13" xr3:uid="{82ED09AD-B9DB-40C3-B176-96C2841CCA0C}" name="Validation" dataDxfId="184" totalsRowDxfId="18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B1876-2265-BD45-A1E2-F3FC886EA92A}" name="Novembre4" displayName="Novembre4" ref="B1:N31" totalsRowCount="1" headerRowDxfId="182" dataDxfId="180" headerRowBorderDxfId="181" tableBorderDxfId="179">
  <autoFilter ref="B1:N30" xr:uid="{2E5B1876-2265-BD45-A1E2-F3FC886EA92A}"/>
  <tableColumns count="13">
    <tableColumn id="1" xr3:uid="{0BEA9DBC-9CC5-9E40-9C80-1F5698C0B8D7}" name="Tâche" totalsRowLabel="Total" dataDxfId="178" totalsRowDxfId="12"/>
    <tableColumn id="11" xr3:uid="{9780AF96-1A55-FD49-89CF-0C4EA8E61EA4}" name="Qui" dataDxfId="177" totalsRowDxfId="11"/>
    <tableColumn id="2" xr3:uid="{335BC6E3-0BCE-984D-A41E-51285FE6B047}" name="Charge Initiale (h)" totalsRowFunction="sum" dataDxfId="176" totalsRowDxfId="10"/>
    <tableColumn id="3" xr3:uid="{CDC0537A-9906-324A-8BBC-119335655680}" name="TPS Période(h)" totalsRowFunction="sum" dataDxfId="175" totalsRowDxfId="9"/>
    <tableColumn id="10" xr3:uid="{7AFAC50D-B2FD-B044-959B-6CD052C5451D}" name="TPS Cumul (h)" totalsRowFunction="sum" dataDxfId="174" totalsRowDxfId="8">
      <calculatedColumnFormula>Novembre4[[#This Row],[TPS Période(h)]]</calculatedColumnFormula>
    </tableColumn>
    <tableColumn id="4" xr3:uid="{164BBD2F-B98A-F144-9B3D-96906D36133F}" name="Reste à passer (h) " totalsRowFunction="sum" dataDxfId="173" totalsRowDxfId="7">
      <calculatedColumnFormula>IF(N2="Non",MAX(Novembre4[[#This Row],[Charge Initiale (h)]]-Novembre4[[#This Row],[TPS Cumul (h)]],0),0)</calculatedColumnFormula>
    </tableColumn>
    <tableColumn id="5" xr3:uid="{5E978354-8A8D-9A49-B9B4-F86596EFCE20}" name="CR (h)" totalsRowFunction="sum" dataDxfId="172" totalsRowDxfId="6">
      <calculatedColumnFormula>Novembre4[[#This Row],[TPS Cumul (h)]]+Novembre4[[#This Row],[Reste à passer (h) ]]</calculatedColumnFormula>
    </tableColumn>
    <tableColumn id="6" xr3:uid="{E6CCE8E7-7D0C-A844-B95B-E88C22C46F4C}" name=" Ecart de charge (h)" totalsRowFunction="sum" dataDxfId="171" totalsRowDxfId="5">
      <calculatedColumnFormula>Novembre4[[#This Row],[CR (h)]] - Novembre4[[#This Row],[Charge Initiale (h)]]</calculatedColumnFormula>
    </tableColumn>
    <tableColumn id="7" xr3:uid="{A69DCF95-9FB0-BE44-83F6-2778CEA77527}" name="Prix de revien unitaire(€)" totalsRowFunction="sum" dataDxfId="170" totalsRowDxfId="4">
      <calculatedColumnFormula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calculatedColumnFormula>
    </tableColumn>
    <tableColumn id="9" xr3:uid="{AF94DA91-71DE-4146-A3E8-C2AA58475207}" name="Coût Initial (€)" totalsRowFunction="sum" dataDxfId="169" totalsRowDxfId="3">
      <calculatedColumnFormula>IF(Novembre4[[#This Row],[TPS Cumul (h)]]&gt;0,Novembre4[[#This Row],[Charge Initiale (h)]]*Novembre4[[#This Row],[Prix de revien unitaire(€)]],0)</calculatedColumnFormula>
    </tableColumn>
    <tableColumn id="8" xr3:uid="{384254D1-68E7-064F-8846-E5FC260547DC}" name="Coût Révisé (€)" totalsRowFunction="sum" dataDxfId="168" totalsRowDxfId="2">
      <calculatedColumnFormula>Novembre4[[#This Row],[CR (h)]]*Novembre4[[#This Row],[Prix de revien unitaire(€)]]</calculatedColumnFormula>
    </tableColumn>
    <tableColumn id="12" xr3:uid="{B3E7A0DA-393A-1A40-B73A-5ED2C080324C}" name="Coût Réel" totalsRowFunction="sum" dataDxfId="167" totalsRowDxfId="1">
      <calculatedColumnFormula>Novembre4[[#This Row],[Prix de revien unitaire(€)]]*Novembre4[[#This Row],[TPS Cumul (h)]]</calculatedColumnFormula>
    </tableColumn>
    <tableColumn id="13" xr3:uid="{3B42FE61-A79A-1B42-9435-B1E1C2EF680D}" name="Validation" dataDxfId="166" totalsRowDxfId="0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E6262C-FB6F-0A48-8368-139703B54F9D}" name="Novembre5" displayName="Novembre5" ref="B1:N31" totalsRowCount="1" headerRowDxfId="165" dataDxfId="163" headerRowBorderDxfId="164" tableBorderDxfId="162">
  <autoFilter ref="B1:N30" xr:uid="{ABE6262C-FB6F-0A48-8368-139703B54F9D}"/>
  <tableColumns count="13">
    <tableColumn id="1" xr3:uid="{C82A2965-B734-864C-A7C8-5D159DD6FACD}" name="Tâche" totalsRowLabel="Total" dataDxfId="161" totalsRowDxfId="160"/>
    <tableColumn id="11" xr3:uid="{8E763832-AB8D-7944-A00F-54B7A99185D0}" name="Qui" dataDxfId="159" totalsRowDxfId="158"/>
    <tableColumn id="2" xr3:uid="{33C7B5F8-FEE3-4640-B8F0-978D64245C91}" name="Charge Initiale (h)" totalsRowFunction="sum" dataDxfId="157" totalsRowDxfId="156"/>
    <tableColumn id="3" xr3:uid="{B993F1E8-6C38-5E4A-BC55-A4C0F126E3DC}" name="TPS Période(h)" totalsRowFunction="sum" dataDxfId="155" totalsRowDxfId="154"/>
    <tableColumn id="10" xr3:uid="{99F8DCF5-4000-DC42-BD02-8D9C8D84FC8D}" name="TPS Cumul (h)" totalsRowFunction="sum" dataDxfId="153" totalsRowDxfId="152">
      <calculatedColumnFormula>Novembre5[[#This Row],[TPS Période(h)]]</calculatedColumnFormula>
    </tableColumn>
    <tableColumn id="4" xr3:uid="{92651564-1D3D-4340-BCB2-78C454BA2458}" name="Reste à passer (h) " totalsRowFunction="sum" dataDxfId="151" totalsRowDxfId="150">
      <calculatedColumnFormula>IF(N2="Non",MAX(Novembre5[[#This Row],[Charge Initiale (h)]]-Novembre5[[#This Row],[TPS Cumul (h)]],0),0)</calculatedColumnFormula>
    </tableColumn>
    <tableColumn id="5" xr3:uid="{40E135BC-65DC-8447-A30D-B6FB19297FA0}" name="CR (h)" totalsRowFunction="sum" dataDxfId="149" totalsRowDxfId="148">
      <calculatedColumnFormula>Novembre5[[#This Row],[TPS Cumul (h)]]+Novembre5[[#This Row],[Reste à passer (h) ]]</calculatedColumnFormula>
    </tableColumn>
    <tableColumn id="6" xr3:uid="{D11484C2-48BE-744A-9ACE-92B10D764EAB}" name=" Ecart de charge (h)" totalsRowFunction="sum" dataDxfId="147" totalsRowDxfId="146">
      <calculatedColumnFormula>Novembre5[[#This Row],[CR (h)]] - Novembre5[[#This Row],[Charge Initiale (h)]]</calculatedColumnFormula>
    </tableColumn>
    <tableColumn id="7" xr3:uid="{4F2675EE-1760-9241-99E6-58A883367A31}" name="Prix de revien unitaire(€)" totalsRowFunction="sum" dataDxfId="145" totalsRowDxfId="144">
      <calculatedColumnFormula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calculatedColumnFormula>
    </tableColumn>
    <tableColumn id="9" xr3:uid="{C846DFA2-65F6-CB4E-AEEC-22FA87C181FD}" name="Coût Initial (€)" totalsRowFunction="sum" dataDxfId="143" totalsRowDxfId="142">
      <calculatedColumnFormula>IF(Novembre5[[#This Row],[TPS Cumul (h)]]&gt;0,Novembre5[[#This Row],[Charge Initiale (h)]]*Novembre5[[#This Row],[Prix de revien unitaire(€)]],0)</calculatedColumnFormula>
    </tableColumn>
    <tableColumn id="8" xr3:uid="{F615F4B1-B5A8-2746-8227-0CBAAE52522B}" name="Coût Révisé (€)" totalsRowFunction="sum" dataDxfId="141" totalsRowDxfId="140">
      <calculatedColumnFormula>Novembre5[[#This Row],[CR (h)]]*Novembre5[[#This Row],[Prix de revien unitaire(€)]]</calculatedColumnFormula>
    </tableColumn>
    <tableColumn id="12" xr3:uid="{5FBCBCC7-AD98-BC48-8440-359658FCB0DD}" name="Coût Réel" totalsRowFunction="sum" dataDxfId="139" totalsRowDxfId="138">
      <calculatedColumnFormula>Novembre5[[#This Row],[Prix de revien unitaire(€)]]*Novembre5[[#This Row],[TPS Cumul (h)]]</calculatedColumnFormula>
    </tableColumn>
    <tableColumn id="13" xr3:uid="{D42F1B05-0748-A14D-8682-B7BC483D041E}" name="Validation" dataDxfId="137" totalsRowDxfId="136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D7DF76-F011-A34B-BE70-E4BFC169CAA0}" name="Novembre6" displayName="Novembre6" ref="B1:N31" totalsRowCount="1" headerRowDxfId="135" dataDxfId="133" headerRowBorderDxfId="134" tableBorderDxfId="132">
  <autoFilter ref="B1:N30" xr:uid="{CED7DF76-F011-A34B-BE70-E4BFC169CAA0}"/>
  <tableColumns count="13">
    <tableColumn id="1" xr3:uid="{F4C7F033-A2F3-EA47-8E19-AB45414F742D}" name="Tâche" totalsRowLabel="Total" dataDxfId="131" totalsRowDxfId="130"/>
    <tableColumn id="11" xr3:uid="{4DC72074-8A80-E04A-94A7-D76D9FBFD651}" name="Qui" dataDxfId="129" totalsRowDxfId="128"/>
    <tableColumn id="2" xr3:uid="{C9D9F993-5CDB-7C4E-8D34-E1930E8546E3}" name="Charge Initiale (h)" totalsRowFunction="sum" dataDxfId="127" totalsRowDxfId="126"/>
    <tableColumn id="3" xr3:uid="{5B4319EC-5196-334D-8424-BA3D801B016F}" name="TPS Période(h)" totalsRowFunction="sum" dataDxfId="125" totalsRowDxfId="124"/>
    <tableColumn id="10" xr3:uid="{DF120DB6-1073-2C44-B926-AF98301A0CB3}" name="TPS Cumul (h)" totalsRowFunction="sum" dataDxfId="123" totalsRowDxfId="122">
      <calculatedColumnFormula>Novembre6[[#This Row],[TPS Période(h)]]</calculatedColumnFormula>
    </tableColumn>
    <tableColumn id="4" xr3:uid="{CCB8E0BA-5622-C04C-AEED-45316203FDAD}" name="Reste à passer (h) " totalsRowFunction="sum" dataDxfId="121" totalsRowDxfId="120">
      <calculatedColumnFormula>IF(N2="Non",MAX(Novembre6[[#This Row],[Charge Initiale (h)]]-Novembre6[[#This Row],[TPS Cumul (h)]],0),0)</calculatedColumnFormula>
    </tableColumn>
    <tableColumn id="5" xr3:uid="{BD6EB6B5-983C-2E40-9F3A-B72750EE4EEC}" name="CR (h)" totalsRowFunction="sum" dataDxfId="119" totalsRowDxfId="118">
      <calculatedColumnFormula>Novembre6[[#This Row],[TPS Cumul (h)]]+Novembre6[[#This Row],[Reste à passer (h) ]]</calculatedColumnFormula>
    </tableColumn>
    <tableColumn id="6" xr3:uid="{B300E6E0-2946-B944-9E78-7CE701F1BB8B}" name=" Ecart de charge (h)" totalsRowFunction="sum" dataDxfId="117" totalsRowDxfId="116">
      <calculatedColumnFormula>Novembre6[[#This Row],[CR (h)]] - Novembre6[[#This Row],[Charge Initiale (h)]]</calculatedColumnFormula>
    </tableColumn>
    <tableColumn id="7" xr3:uid="{40D8ADBD-415E-A54E-8E97-46E92B655B5B}" name="Prix de revien unitaire(€)" totalsRowFunction="sum" dataDxfId="115" totalsRowDxfId="114">
      <calculatedColumnFormula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calculatedColumnFormula>
    </tableColumn>
    <tableColumn id="9" xr3:uid="{0CC9BD66-F210-434E-98CD-05ED1716A1B5}" name="Coût Initial (€)" totalsRowFunction="sum" dataDxfId="113" totalsRowDxfId="112">
      <calculatedColumnFormula>IF(Novembre6[[#This Row],[TPS Cumul (h)]]&gt;0,Novembre6[[#This Row],[Charge Initiale (h)]]*Novembre6[[#This Row],[Prix de revien unitaire(€)]],0)</calculatedColumnFormula>
    </tableColumn>
    <tableColumn id="8" xr3:uid="{794993DB-2332-6C44-A439-A71039BC33A7}" name="Coût Révisé (€)" totalsRowFunction="sum" dataDxfId="111" totalsRowDxfId="110">
      <calculatedColumnFormula>Novembre6[[#This Row],[CR (h)]]*Novembre6[[#This Row],[Prix de revien unitaire(€)]]</calculatedColumnFormula>
    </tableColumn>
    <tableColumn id="12" xr3:uid="{3F7AF828-7575-3649-8853-9C643EB6F906}" name="Coût Réel" totalsRowFunction="sum" dataDxfId="109" totalsRowDxfId="108">
      <calculatedColumnFormula>Novembre6[[#This Row],[Prix de revien unitaire(€)]]*Novembre6[[#This Row],[TPS Cumul (h)]]</calculatedColumnFormula>
    </tableColumn>
    <tableColumn id="13" xr3:uid="{ABCD7A7A-10F1-BE4B-9DB2-BF175D33097D}" name="Validation" dataDxfId="107" totalsRowDxfId="10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2E7A-65CA-4F1A-8E80-C43D95D9412E}">
  <sheetPr>
    <tabColor rgb="FFFFC000"/>
  </sheetPr>
  <dimension ref="B3:Q9"/>
  <sheetViews>
    <sheetView zoomScaleNormal="100" workbookViewId="0">
      <selection activeCell="K8" sqref="K8"/>
    </sheetView>
  </sheetViews>
  <sheetFormatPr baseColWidth="10" defaultColWidth="11.5" defaultRowHeight="15" x14ac:dyDescent="0.2"/>
  <cols>
    <col min="1" max="1" width="41.1640625" bestFit="1" customWidth="1"/>
    <col min="2" max="2" width="10.6640625" bestFit="1" customWidth="1"/>
    <col min="3" max="3" width="8.83203125" bestFit="1" customWidth="1"/>
    <col min="4" max="4" width="12.83203125" bestFit="1" customWidth="1"/>
    <col min="5" max="5" width="18.1640625" bestFit="1" customWidth="1"/>
    <col min="6" max="6" width="17.83203125" customWidth="1"/>
    <col min="7" max="7" width="19" bestFit="1" customWidth="1"/>
    <col min="8" max="8" width="19.5" bestFit="1" customWidth="1"/>
  </cols>
  <sheetData>
    <row r="3" spans="2:17" x14ac:dyDescent="0.2">
      <c r="B3" s="6" t="s">
        <v>0</v>
      </c>
      <c r="C3" s="6" t="s">
        <v>14</v>
      </c>
      <c r="D3" s="6" t="s">
        <v>6</v>
      </c>
      <c r="E3" s="6" t="s">
        <v>32</v>
      </c>
      <c r="F3" s="6" t="s">
        <v>21</v>
      </c>
      <c r="G3" s="6" t="s">
        <v>33</v>
      </c>
      <c r="H3" s="6" t="s">
        <v>35</v>
      </c>
      <c r="I3" s="6" t="s">
        <v>34</v>
      </c>
    </row>
    <row r="4" spans="2:17" x14ac:dyDescent="0.2">
      <c r="B4" s="6" t="s">
        <v>18</v>
      </c>
      <c r="C4" s="26">
        <f>Septembre!M31</f>
        <v>1088</v>
      </c>
      <c r="D4" s="5">
        <v>120</v>
      </c>
      <c r="E4" s="26">
        <f>Septembre!F31</f>
        <v>16</v>
      </c>
      <c r="F4" s="26">
        <f>Septembre!I31</f>
        <v>0</v>
      </c>
      <c r="G4" s="5">
        <f>Septembre!H31</f>
        <v>115</v>
      </c>
      <c r="H4" s="10">
        <f>IFERROR(E4/G4,0)</f>
        <v>0.1391304347826087</v>
      </c>
      <c r="I4" s="5">
        <f>Septembre!K31</f>
        <v>1088</v>
      </c>
    </row>
    <row r="5" spans="2:17" x14ac:dyDescent="0.2">
      <c r="B5" s="6" t="s">
        <v>1</v>
      </c>
      <c r="C5" s="26">
        <f>Octobre!M31</f>
        <v>1972</v>
      </c>
      <c r="D5" s="5">
        <v>120</v>
      </c>
      <c r="E5" s="26">
        <f>Octobre!F31</f>
        <v>29</v>
      </c>
      <c r="F5" s="26">
        <f>Octobre!I31</f>
        <v>-5</v>
      </c>
      <c r="G5" s="5">
        <f>Octobre!H31</f>
        <v>110</v>
      </c>
      <c r="H5" s="10">
        <f t="shared" ref="H5:H9" si="0">IFERROR(E5/G5,0)</f>
        <v>0.26363636363636361</v>
      </c>
      <c r="I5" s="5">
        <f>Octobre!K31</f>
        <v>2516</v>
      </c>
      <c r="Q5" s="22"/>
    </row>
    <row r="6" spans="2:17" x14ac:dyDescent="0.2">
      <c r="B6" s="6" t="s">
        <v>2</v>
      </c>
      <c r="C6" s="26">
        <f>Novembre!M31</f>
        <v>5372</v>
      </c>
      <c r="D6" s="5">
        <v>120</v>
      </c>
      <c r="E6" s="26">
        <f>Novembre!F31</f>
        <v>79</v>
      </c>
      <c r="F6" s="26">
        <f>Novembre!I31</f>
        <v>-1</v>
      </c>
      <c r="G6" s="5">
        <f>Novembre!H31</f>
        <v>119</v>
      </c>
      <c r="H6" s="10">
        <f t="shared" si="0"/>
        <v>0.66386554621848737</v>
      </c>
      <c r="I6" s="5">
        <f>Novembre!K31</f>
        <v>6188</v>
      </c>
      <c r="Q6" s="22"/>
    </row>
    <row r="7" spans="2:17" x14ac:dyDescent="0.2">
      <c r="B7" s="6" t="s">
        <v>3</v>
      </c>
      <c r="C7" s="26">
        <f>Décembre!M31</f>
        <v>6120</v>
      </c>
      <c r="D7" s="5">
        <v>120</v>
      </c>
      <c r="E7" s="26">
        <f>Décembre!F31</f>
        <v>90</v>
      </c>
      <c r="F7" s="26">
        <f>Décembre!I31</f>
        <v>1</v>
      </c>
      <c r="G7" s="5">
        <f>Décembre!H31</f>
        <v>121</v>
      </c>
      <c r="H7" s="10">
        <f t="shared" si="0"/>
        <v>0.74380165289256195</v>
      </c>
      <c r="I7" s="5">
        <f>Décembre!K31</f>
        <v>6324</v>
      </c>
      <c r="Q7" s="22"/>
    </row>
    <row r="8" spans="2:17" x14ac:dyDescent="0.2">
      <c r="B8" s="6" t="s">
        <v>4</v>
      </c>
      <c r="C8" s="26">
        <f>Janvier!M31</f>
        <v>5372</v>
      </c>
      <c r="D8" s="5">
        <v>120</v>
      </c>
      <c r="E8" s="26">
        <f>Janvier!F31</f>
        <v>79</v>
      </c>
      <c r="F8" s="26">
        <f>Janvier!I31</f>
        <v>-1</v>
      </c>
      <c r="G8" s="5">
        <f>Janvier!H31</f>
        <v>119</v>
      </c>
      <c r="H8" s="10">
        <f t="shared" si="0"/>
        <v>0.66386554621848737</v>
      </c>
      <c r="I8" s="5">
        <f>Janvier!K31</f>
        <v>6188</v>
      </c>
      <c r="Q8" s="22"/>
    </row>
    <row r="9" spans="2:17" x14ac:dyDescent="0.2">
      <c r="B9" s="6" t="s">
        <v>5</v>
      </c>
      <c r="C9" s="26">
        <f>Février!M31</f>
        <v>5372</v>
      </c>
      <c r="D9" s="5">
        <v>120</v>
      </c>
      <c r="E9" s="26">
        <f>Février!F31</f>
        <v>79</v>
      </c>
      <c r="F9" s="26">
        <f>Février!I31</f>
        <v>-1</v>
      </c>
      <c r="G9" s="5">
        <f>Février!H31</f>
        <v>119</v>
      </c>
      <c r="H9" s="10">
        <f t="shared" si="0"/>
        <v>0.66386554621848737</v>
      </c>
      <c r="I9" s="5">
        <f>Février!K31</f>
        <v>6188</v>
      </c>
      <c r="Q9" s="2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38D9-B873-4F0A-860F-063F02CD63DC}">
  <dimension ref="A1:N37"/>
  <sheetViews>
    <sheetView zoomScale="86" zoomScaleNormal="100" workbookViewId="0">
      <selection activeCell="B33" sqref="B33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22.66406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3" max="13" width="13.664062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7" t="s">
        <v>30</v>
      </c>
    </row>
    <row r="2" spans="1:14" x14ac:dyDescent="0.2">
      <c r="A2" s="33" t="s">
        <v>24</v>
      </c>
      <c r="B2" s="25" t="s">
        <v>40</v>
      </c>
      <c r="C2" t="s">
        <v>15</v>
      </c>
      <c r="D2" s="4">
        <v>1</v>
      </c>
      <c r="E2" s="4">
        <v>1</v>
      </c>
      <c r="F2" s="4">
        <f>Septembre[[#This Row],[TPS Période(h)]]</f>
        <v>1</v>
      </c>
      <c r="G2" s="4">
        <f>IF(N2="Non",MAX(Septembre[[#This Row],[Charge Initiale (h)]]-Septembre[[#This Row],[TPS Cumul (h)]],0),0)</f>
        <v>0</v>
      </c>
      <c r="H2" s="4">
        <f>Septembre[[#This Row],[TPS Cumul (h)]]+Septembre[[#This Row],[Reste à passer (h) ]]</f>
        <v>1</v>
      </c>
      <c r="I2" s="4">
        <f>Septembre[[#This Row],[CR (h)]] - Septembre[[#This Row],[Charge Initiale (h)]]</f>
        <v>0</v>
      </c>
      <c r="J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" s="4">
        <f>IF(Septembre[[#This Row],[TPS Cumul (h)]]&gt;0,Septembre[[#This Row],[Charge Initiale (h)]]*Septembre[[#This Row],[Prix de revien unitaire(€)]],0)</f>
        <v>68</v>
      </c>
      <c r="L2" s="4">
        <f>Septembre[[#This Row],[CR (h)]]*Septembre[[#This Row],[Prix de revien unitaire(€)]]</f>
        <v>68</v>
      </c>
      <c r="M2" s="16">
        <f>Septembre[[#This Row],[Prix de revien unitaire(€)]]*Septembre[[#This Row],[TPS Cumul (h)]]</f>
        <v>68</v>
      </c>
      <c r="N2" s="3" t="s">
        <v>38</v>
      </c>
    </row>
    <row r="3" spans="1:14" x14ac:dyDescent="0.2">
      <c r="A3" s="33"/>
      <c r="B3" s="25" t="s">
        <v>41</v>
      </c>
      <c r="C3" t="s">
        <v>15</v>
      </c>
      <c r="D3" s="4">
        <v>10</v>
      </c>
      <c r="E3" s="4">
        <v>9</v>
      </c>
      <c r="F3" s="4">
        <f>Septembre[[#This Row],[TPS Période(h)]]</f>
        <v>9</v>
      </c>
      <c r="G3" s="4">
        <f>IF(N3="Non",MAX(Septembre[[#This Row],[Charge Initiale (h)]]-Septembre[[#This Row],[TPS Cumul (h)]],0),0)</f>
        <v>0</v>
      </c>
      <c r="H3" s="4">
        <f>Septembre[[#This Row],[TPS Cumul (h)]]+Septembre[[#This Row],[Reste à passer (h) ]]</f>
        <v>9</v>
      </c>
      <c r="I3" s="4">
        <f>Septembre[[#This Row],[CR (h)]] - Septembre[[#This Row],[Charge Initiale (h)]]</f>
        <v>-1</v>
      </c>
      <c r="J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" s="4">
        <f>IF(Septembre[[#This Row],[TPS Cumul (h)]]&gt;0,Septembre[[#This Row],[Charge Initiale (h)]]*Septembre[[#This Row],[Prix de revien unitaire(€)]],0)</f>
        <v>680</v>
      </c>
      <c r="L3" s="4">
        <f>Septembre[[#This Row],[CR (h)]]*Septembre[[#This Row],[Prix de revien unitaire(€)]]</f>
        <v>612</v>
      </c>
      <c r="M3" s="16">
        <f>Septembre[[#This Row],[Prix de revien unitaire(€)]]*Septembre[[#This Row],[TPS Cumul (h)]]</f>
        <v>612</v>
      </c>
      <c r="N3" s="3" t="s">
        <v>38</v>
      </c>
    </row>
    <row r="4" spans="1:14" x14ac:dyDescent="0.2">
      <c r="A4" s="35" t="s">
        <v>16</v>
      </c>
      <c r="B4" s="25" t="s">
        <v>42</v>
      </c>
      <c r="C4" t="s">
        <v>15</v>
      </c>
      <c r="D4" s="4">
        <v>5</v>
      </c>
      <c r="E4" s="4">
        <v>6</v>
      </c>
      <c r="F4" s="4">
        <f>Septembre[[#This Row],[TPS Période(h)]]</f>
        <v>6</v>
      </c>
      <c r="G4" s="4">
        <f>IF(N4="Non",MAX(Septembre[[#This Row],[Charge Initiale (h)]]-Septembre[[#This Row],[TPS Cumul (h)]],0),0)</f>
        <v>0</v>
      </c>
      <c r="H4" s="4">
        <f>Septembre[[#This Row],[TPS Cumul (h)]]+Septembre[[#This Row],[Reste à passer (h) ]]</f>
        <v>6</v>
      </c>
      <c r="I4" s="4">
        <f>Septembre[[#This Row],[CR (h)]] - Septembre[[#This Row],[Charge Initiale (h)]]</f>
        <v>1</v>
      </c>
      <c r="J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4" s="4">
        <f>IF(Septembre[[#This Row],[TPS Cumul (h)]]&gt;0,Septembre[[#This Row],[Charge Initiale (h)]]*Septembre[[#This Row],[Prix de revien unitaire(€)]],0)</f>
        <v>340</v>
      </c>
      <c r="L4" s="4">
        <f>Septembre[[#This Row],[CR (h)]]*Septembre[[#This Row],[Prix de revien unitaire(€)]]</f>
        <v>408</v>
      </c>
      <c r="M4" s="16">
        <f>Septembre[[#This Row],[Prix de revien unitaire(€)]]*Septembre[[#This Row],[TPS Cumul (h)]]</f>
        <v>408</v>
      </c>
      <c r="N4" s="3" t="s">
        <v>38</v>
      </c>
    </row>
    <row r="5" spans="1:14" x14ac:dyDescent="0.2">
      <c r="A5" s="35"/>
      <c r="B5" s="26" t="s">
        <v>43</v>
      </c>
      <c r="C5" t="s">
        <v>15</v>
      </c>
      <c r="D5" s="4">
        <v>1</v>
      </c>
      <c r="E5" s="4">
        <v>0</v>
      </c>
      <c r="F5" s="4">
        <f>Septembre[[#This Row],[TPS Période(h)]]</f>
        <v>0</v>
      </c>
      <c r="G5" s="4">
        <f>IF(N5="Non",MAX(Septembre[[#This Row],[Charge Initiale (h)]]-Septembre[[#This Row],[TPS Cumul (h)]],0),0)</f>
        <v>1</v>
      </c>
      <c r="H5" s="4">
        <f>Septembre[[#This Row],[TPS Cumul (h)]]+Septembre[[#This Row],[Reste à passer (h) ]]</f>
        <v>1</v>
      </c>
      <c r="I5" s="4">
        <f>Septembre[[#This Row],[CR (h)]] - Septembre[[#This Row],[Charge Initiale (h)]]</f>
        <v>0</v>
      </c>
      <c r="J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5" s="4">
        <f>IF(Septembre[[#This Row],[TPS Cumul (h)]]&gt;0,Septembre[[#This Row],[Charge Initiale (h)]]*Septembre[[#This Row],[Prix de revien unitaire(€)]],0)</f>
        <v>0</v>
      </c>
      <c r="L5" s="4">
        <f>Septembre[[#This Row],[CR (h)]]*Septembre[[#This Row],[Prix de revien unitaire(€)]]</f>
        <v>68</v>
      </c>
      <c r="M5" s="16">
        <f>Septembre[[#This Row],[Prix de revien unitaire(€)]]*Septembre[[#This Row],[TPS Cumul (h)]]</f>
        <v>0</v>
      </c>
      <c r="N5" s="3" t="s">
        <v>39</v>
      </c>
    </row>
    <row r="6" spans="1:14" x14ac:dyDescent="0.2">
      <c r="A6" s="35"/>
      <c r="B6" s="25" t="s">
        <v>44</v>
      </c>
      <c r="C6" t="s">
        <v>15</v>
      </c>
      <c r="D6" s="4">
        <v>2</v>
      </c>
      <c r="E6" s="4">
        <v>0</v>
      </c>
      <c r="F6" s="4">
        <f>Septembre[[#This Row],[TPS Période(h)]]</f>
        <v>0</v>
      </c>
      <c r="G6" s="4">
        <f>IF(N6="Non",MAX(Septembre[[#This Row],[Charge Initiale (h)]]-Septembre[[#This Row],[TPS Cumul (h)]],0),0)</f>
        <v>2</v>
      </c>
      <c r="H6" s="4">
        <f>Septembre[[#This Row],[TPS Cumul (h)]]+Septembre[[#This Row],[Reste à passer (h) ]]</f>
        <v>2</v>
      </c>
      <c r="I6" s="4">
        <f>Septembre[[#This Row],[CR (h)]] - Septembre[[#This Row],[Charge Initiale (h)]]</f>
        <v>0</v>
      </c>
      <c r="J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6" s="4">
        <f>IF(Septembre[[#This Row],[TPS Cumul (h)]]&gt;0,Septembre[[#This Row],[Charge Initiale (h)]]*Septembre[[#This Row],[Prix de revien unitaire(€)]],0)</f>
        <v>0</v>
      </c>
      <c r="L6" s="4">
        <f>Septembre[[#This Row],[CR (h)]]*Septembre[[#This Row],[Prix de revien unitaire(€)]]</f>
        <v>136</v>
      </c>
      <c r="M6" s="16">
        <f>Septembre[[#This Row],[Prix de revien unitaire(€)]]*Septembre[[#This Row],[TPS Cumul (h)]]</f>
        <v>0</v>
      </c>
      <c r="N6" s="3" t="s">
        <v>39</v>
      </c>
    </row>
    <row r="7" spans="1:14" x14ac:dyDescent="0.2">
      <c r="A7" s="35"/>
      <c r="B7" s="25" t="s">
        <v>45</v>
      </c>
      <c r="C7" t="s">
        <v>15</v>
      </c>
      <c r="D7" s="4">
        <v>2</v>
      </c>
      <c r="E7" s="4">
        <v>0</v>
      </c>
      <c r="F7" s="4">
        <f>Septembre[[#This Row],[TPS Période(h)]]</f>
        <v>0</v>
      </c>
      <c r="G7" s="4">
        <f>IF(N7="Non",MAX(Septembre[[#This Row],[Charge Initiale (h)]]-Septembre[[#This Row],[TPS Cumul (h)]],0),0)</f>
        <v>2</v>
      </c>
      <c r="H7" s="4">
        <f>Septembre[[#This Row],[TPS Cumul (h)]]+Septembre[[#This Row],[Reste à passer (h) ]]</f>
        <v>2</v>
      </c>
      <c r="I7" s="4">
        <f>Septembre[[#This Row],[CR (h)]] - Septembre[[#This Row],[Charge Initiale (h)]]</f>
        <v>0</v>
      </c>
      <c r="J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7" s="4">
        <f>IF(Septembre[[#This Row],[TPS Cumul (h)]]&gt;0,Septembre[[#This Row],[Charge Initiale (h)]]*Septembre[[#This Row],[Prix de revien unitaire(€)]],0)</f>
        <v>0</v>
      </c>
      <c r="L7" s="4">
        <f>Septembre[[#This Row],[CR (h)]]*Septembre[[#This Row],[Prix de revien unitaire(€)]]</f>
        <v>136</v>
      </c>
      <c r="M7" s="16">
        <f>Septembre[[#This Row],[Prix de revien unitaire(€)]]*Septembre[[#This Row],[TPS Cumul (h)]]</f>
        <v>0</v>
      </c>
      <c r="N7" s="3" t="s">
        <v>39</v>
      </c>
    </row>
    <row r="8" spans="1:14" x14ac:dyDescent="0.2">
      <c r="A8" s="35"/>
      <c r="B8" s="25" t="s">
        <v>46</v>
      </c>
      <c r="C8" t="s">
        <v>15</v>
      </c>
      <c r="D8" s="4">
        <v>2</v>
      </c>
      <c r="E8" s="4">
        <v>0</v>
      </c>
      <c r="F8" s="4">
        <f>Septembre[[#This Row],[TPS Période(h)]]</f>
        <v>0</v>
      </c>
      <c r="G8" s="4">
        <f>IF(N8="Non",MAX(Septembre[[#This Row],[Charge Initiale (h)]]-Septembre[[#This Row],[TPS Cumul (h)]],0),0)</f>
        <v>2</v>
      </c>
      <c r="H8" s="4">
        <f>Septembre[[#This Row],[TPS Cumul (h)]]+Septembre[[#This Row],[Reste à passer (h) ]]</f>
        <v>2</v>
      </c>
      <c r="I8" s="4">
        <f>Septembre[[#This Row],[CR (h)]] - Septembre[[#This Row],[Charge Initiale (h)]]</f>
        <v>0</v>
      </c>
      <c r="J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8" s="4">
        <f>IF(Septembre[[#This Row],[TPS Cumul (h)]]&gt;0,Septembre[[#This Row],[Charge Initiale (h)]]*Septembre[[#This Row],[Prix de revien unitaire(€)]],0)</f>
        <v>0</v>
      </c>
      <c r="L8" s="4">
        <f>Septembre[[#This Row],[CR (h)]]*Septembre[[#This Row],[Prix de revien unitaire(€)]]</f>
        <v>136</v>
      </c>
      <c r="M8" s="16">
        <f>Septembre[[#This Row],[Prix de revien unitaire(€)]]*Septembre[[#This Row],[TPS Cumul (h)]]</f>
        <v>0</v>
      </c>
      <c r="N8" s="3" t="s">
        <v>39</v>
      </c>
    </row>
    <row r="9" spans="1:14" x14ac:dyDescent="0.2">
      <c r="A9" s="35"/>
      <c r="B9" s="25" t="s">
        <v>47</v>
      </c>
      <c r="C9" t="s">
        <v>15</v>
      </c>
      <c r="D9" s="4">
        <v>2</v>
      </c>
      <c r="E9" s="4">
        <v>0</v>
      </c>
      <c r="F9" s="4">
        <f>Septembre[[#This Row],[TPS Période(h)]]</f>
        <v>0</v>
      </c>
      <c r="G9" s="4">
        <f>IF(N9="Non",MAX(Septembre[[#This Row],[Charge Initiale (h)]]-Septembre[[#This Row],[TPS Cumul (h)]],0),0)</f>
        <v>2</v>
      </c>
      <c r="H9" s="4">
        <f>Septembre[[#This Row],[TPS Cumul (h)]]+Septembre[[#This Row],[Reste à passer (h) ]]</f>
        <v>2</v>
      </c>
      <c r="I9" s="4">
        <f>Septembre[[#This Row],[CR (h)]] - Septembre[[#This Row],[Charge Initiale (h)]]</f>
        <v>0</v>
      </c>
      <c r="J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9" s="4">
        <f>IF(Septembre[[#This Row],[TPS Cumul (h)]]&gt;0,Septembre[[#This Row],[Charge Initiale (h)]]*Septembre[[#This Row],[Prix de revien unitaire(€)]],0)</f>
        <v>0</v>
      </c>
      <c r="L9" s="4">
        <f>Septembre[[#This Row],[CR (h)]]*Septembre[[#This Row],[Prix de revien unitaire(€)]]</f>
        <v>136</v>
      </c>
      <c r="M9" s="16">
        <f>Septembre[[#This Row],[Prix de revien unitaire(€)]]*Septembre[[#This Row],[TPS Cumul (h)]]</f>
        <v>0</v>
      </c>
      <c r="N9" s="3" t="s">
        <v>39</v>
      </c>
    </row>
    <row r="10" spans="1:14" x14ac:dyDescent="0.2">
      <c r="A10" s="38" t="s">
        <v>25</v>
      </c>
      <c r="B10" s="26" t="s">
        <v>66</v>
      </c>
      <c r="C10" t="s">
        <v>15</v>
      </c>
      <c r="D10" s="4">
        <v>4</v>
      </c>
      <c r="E10" s="4">
        <v>0</v>
      </c>
      <c r="F10" s="4">
        <f>Septembre[[#This Row],[TPS Période(h)]]</f>
        <v>0</v>
      </c>
      <c r="G10" s="4">
        <f>IF(N10="Non",MAX(Septembre[[#This Row],[Charge Initiale (h)]]-Septembre[[#This Row],[TPS Cumul (h)]],0),0)</f>
        <v>4</v>
      </c>
      <c r="H10" s="4">
        <f>Septembre[[#This Row],[TPS Cumul (h)]]+Septembre[[#This Row],[Reste à passer (h) ]]</f>
        <v>4</v>
      </c>
      <c r="I10" s="4">
        <f>Septembre[[#This Row],[CR (h)]] - Septembre[[#This Row],[Charge Initiale (h)]]</f>
        <v>0</v>
      </c>
      <c r="J1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0" s="4">
        <f>IF(Septembre[[#This Row],[TPS Cumul (h)]]&gt;0,Septembre[[#This Row],[Charge Initiale (h)]]*Septembre[[#This Row],[Prix de revien unitaire(€)]],0)</f>
        <v>0</v>
      </c>
      <c r="L10" s="4">
        <f>Septembre[[#This Row],[CR (h)]]*Septembre[[#This Row],[Prix de revien unitaire(€)]]</f>
        <v>272</v>
      </c>
      <c r="M10" s="16">
        <f>Septembre[[#This Row],[Prix de revien unitaire(€)]]*Septembre[[#This Row],[TPS Cumul (h)]]</f>
        <v>0</v>
      </c>
      <c r="N10" s="3" t="s">
        <v>39</v>
      </c>
    </row>
    <row r="11" spans="1:14" x14ac:dyDescent="0.2">
      <c r="A11" s="38"/>
      <c r="B11" s="26" t="s">
        <v>65</v>
      </c>
      <c r="C11" t="s">
        <v>15</v>
      </c>
      <c r="D11" s="4">
        <v>4</v>
      </c>
      <c r="E11" s="4">
        <v>0</v>
      </c>
      <c r="F11" s="4">
        <f>Septembre[[#This Row],[TPS Période(h)]]</f>
        <v>0</v>
      </c>
      <c r="G11" s="4">
        <f>IF(N11="Non",MAX(Septembre[[#This Row],[Charge Initiale (h)]]-Septembre[[#This Row],[TPS Cumul (h)]],0),0)</f>
        <v>4</v>
      </c>
      <c r="H11" s="4">
        <f>Septembre[[#This Row],[TPS Cumul (h)]]+Septembre[[#This Row],[Reste à passer (h) ]]</f>
        <v>4</v>
      </c>
      <c r="I11" s="4">
        <f>Septembre[[#This Row],[CR (h)]] - Septembre[[#This Row],[Charge Initiale (h)]]</f>
        <v>0</v>
      </c>
      <c r="J1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1" s="4">
        <f>IF(Septembre[[#This Row],[TPS Cumul (h)]]&gt;0,Septembre[[#This Row],[Charge Initiale (h)]]*Septembre[[#This Row],[Prix de revien unitaire(€)]],0)</f>
        <v>0</v>
      </c>
      <c r="L11" s="4">
        <f>Septembre[[#This Row],[CR (h)]]*Septembre[[#This Row],[Prix de revien unitaire(€)]]</f>
        <v>272</v>
      </c>
      <c r="M11" s="16">
        <f>Septembre[[#This Row],[Prix de revien unitaire(€)]]*Septembre[[#This Row],[TPS Cumul (h)]]</f>
        <v>0</v>
      </c>
      <c r="N11" s="3" t="s">
        <v>39</v>
      </c>
    </row>
    <row r="12" spans="1:14" x14ac:dyDescent="0.2">
      <c r="A12" s="38"/>
      <c r="B12" s="25" t="s">
        <v>48</v>
      </c>
      <c r="C12" t="s">
        <v>15</v>
      </c>
      <c r="D12" s="4">
        <v>1</v>
      </c>
      <c r="E12" s="4">
        <v>0</v>
      </c>
      <c r="F12" s="4">
        <f>Septembre[[#This Row],[TPS Période(h)]]</f>
        <v>0</v>
      </c>
      <c r="G12" s="4">
        <f>IF(N12="Non",MAX(Septembre[[#This Row],[Charge Initiale (h)]]-Septembre[[#This Row],[TPS Cumul (h)]],0),0)</f>
        <v>1</v>
      </c>
      <c r="H12" s="4">
        <f>Septembre[[#This Row],[TPS Cumul (h)]]+Septembre[[#This Row],[Reste à passer (h) ]]</f>
        <v>1</v>
      </c>
      <c r="I12" s="4">
        <f>Septembre[[#This Row],[CR (h)]] - Septembre[[#This Row],[Charge Initiale (h)]]</f>
        <v>0</v>
      </c>
      <c r="J1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2" s="4">
        <f>IF(Septembre[[#This Row],[TPS Cumul (h)]]&gt;0,Septembre[[#This Row],[Charge Initiale (h)]]*Septembre[[#This Row],[Prix de revien unitaire(€)]],0)</f>
        <v>0</v>
      </c>
      <c r="L12" s="4">
        <f>Septembre[[#This Row],[CR (h)]]*Septembre[[#This Row],[Prix de revien unitaire(€)]]</f>
        <v>68</v>
      </c>
      <c r="M12" s="16">
        <f>Septembre[[#This Row],[Prix de revien unitaire(€)]]*Septembre[[#This Row],[TPS Cumul (h)]]</f>
        <v>0</v>
      </c>
      <c r="N12" s="3" t="s">
        <v>39</v>
      </c>
    </row>
    <row r="13" spans="1:14" x14ac:dyDescent="0.2">
      <c r="A13" s="38"/>
      <c r="B13" s="25" t="s">
        <v>49</v>
      </c>
      <c r="C13" t="s">
        <v>15</v>
      </c>
      <c r="D13" s="4">
        <v>2</v>
      </c>
      <c r="E13" s="4">
        <v>0</v>
      </c>
      <c r="F13" s="4">
        <f>Septembre[[#This Row],[TPS Période(h)]]</f>
        <v>0</v>
      </c>
      <c r="G13" s="4">
        <f>IF(N13="Non",MAX(Septembre[[#This Row],[Charge Initiale (h)]]-Septembre[[#This Row],[TPS Cumul (h)]],0),0)</f>
        <v>2</v>
      </c>
      <c r="H13" s="4">
        <f>Septembre[[#This Row],[TPS Cumul (h)]]+Septembre[[#This Row],[Reste à passer (h) ]]</f>
        <v>2</v>
      </c>
      <c r="I13" s="4">
        <f>Septembre[[#This Row],[CR (h)]] - Septembre[[#This Row],[Charge Initiale (h)]]</f>
        <v>0</v>
      </c>
      <c r="J1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3" s="4">
        <f>IF(Septembre[[#This Row],[TPS Cumul (h)]]&gt;0,Septembre[[#This Row],[Charge Initiale (h)]]*Septembre[[#This Row],[Prix de revien unitaire(€)]],0)</f>
        <v>0</v>
      </c>
      <c r="L13" s="4">
        <f>Septembre[[#This Row],[CR (h)]]*Septembre[[#This Row],[Prix de revien unitaire(€)]]</f>
        <v>136</v>
      </c>
      <c r="M13" s="16">
        <f>Septembre[[#This Row],[Prix de revien unitaire(€)]]*Septembre[[#This Row],[TPS Cumul (h)]]</f>
        <v>0</v>
      </c>
      <c r="N13" s="3" t="s">
        <v>39</v>
      </c>
    </row>
    <row r="14" spans="1:14" x14ac:dyDescent="0.2">
      <c r="A14" s="34" t="s">
        <v>26</v>
      </c>
      <c r="B14" s="26" t="s">
        <v>68</v>
      </c>
      <c r="C14" t="s">
        <v>15</v>
      </c>
      <c r="D14" s="4">
        <v>7</v>
      </c>
      <c r="E14" s="4">
        <v>0</v>
      </c>
      <c r="F14" s="4">
        <f>Septembre[[#This Row],[TPS Période(h)]]</f>
        <v>0</v>
      </c>
      <c r="G14" s="4">
        <f>IF(N14="Non",MAX(Septembre[[#This Row],[Charge Initiale (h)]]-Septembre[[#This Row],[TPS Cumul (h)]],0),0)</f>
        <v>7</v>
      </c>
      <c r="H14" s="4">
        <f>Septembre[[#This Row],[TPS Cumul (h)]]+Septembre[[#This Row],[Reste à passer (h) ]]</f>
        <v>7</v>
      </c>
      <c r="I14" s="4">
        <f>Septembre[[#This Row],[CR (h)]] - Septembre[[#This Row],[Charge Initiale (h)]]</f>
        <v>0</v>
      </c>
      <c r="J1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4" s="4">
        <f>IF(Septembre[[#This Row],[TPS Cumul (h)]]&gt;0,Septembre[[#This Row],[Charge Initiale (h)]]*Septembre[[#This Row],[Prix de revien unitaire(€)]],0)</f>
        <v>0</v>
      </c>
      <c r="L14" s="4">
        <f>Septembre[[#This Row],[CR (h)]]*Septembre[[#This Row],[Prix de revien unitaire(€)]]</f>
        <v>476</v>
      </c>
      <c r="M14" s="16">
        <f>Septembre[[#This Row],[Prix de revien unitaire(€)]]*Septembre[[#This Row],[TPS Cumul (h)]]</f>
        <v>0</v>
      </c>
      <c r="N14" s="3" t="s">
        <v>39</v>
      </c>
    </row>
    <row r="15" spans="1:14" x14ac:dyDescent="0.2">
      <c r="A15" s="34"/>
      <c r="B15" s="26" t="s">
        <v>67</v>
      </c>
      <c r="C15" t="s">
        <v>15</v>
      </c>
      <c r="D15" s="4">
        <v>7</v>
      </c>
      <c r="E15" s="4">
        <v>0</v>
      </c>
      <c r="F15" s="4">
        <f>Septembre[[#This Row],[TPS Période(h)]]</f>
        <v>0</v>
      </c>
      <c r="G15" s="4">
        <f>IF(N15="Non",MAX(Septembre[[#This Row],[Charge Initiale (h)]]-Septembre[[#This Row],[TPS Cumul (h)]],0),0)</f>
        <v>7</v>
      </c>
      <c r="H15" s="4">
        <f>Septembre[[#This Row],[TPS Cumul (h)]]+Septembre[[#This Row],[Reste à passer (h) ]]</f>
        <v>7</v>
      </c>
      <c r="I15" s="4">
        <f>Septembre[[#This Row],[CR (h)]] - Septembre[[#This Row],[Charge Initiale (h)]]</f>
        <v>0</v>
      </c>
      <c r="J1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5" s="4">
        <f>IF(Septembre[[#This Row],[TPS Cumul (h)]]&gt;0,Septembre[[#This Row],[Charge Initiale (h)]]*Septembre[[#This Row],[Prix de revien unitaire(€)]],0)</f>
        <v>0</v>
      </c>
      <c r="L15" s="4">
        <f>Septembre[[#This Row],[CR (h)]]*Septembre[[#This Row],[Prix de revien unitaire(€)]]</f>
        <v>476</v>
      </c>
      <c r="M15" s="16">
        <f>Septembre[[#This Row],[Prix de revien unitaire(€)]]*Septembre[[#This Row],[TPS Cumul (h)]]</f>
        <v>0</v>
      </c>
      <c r="N15" s="3" t="s">
        <v>39</v>
      </c>
    </row>
    <row r="16" spans="1:14" x14ac:dyDescent="0.2">
      <c r="A16" s="34"/>
      <c r="B16" s="26" t="s">
        <v>50</v>
      </c>
      <c r="C16" t="s">
        <v>15</v>
      </c>
      <c r="D16" s="18">
        <v>4</v>
      </c>
      <c r="E16" s="18">
        <v>0</v>
      </c>
      <c r="F16" s="18">
        <f>Septembre[[#This Row],[TPS Période(h)]]</f>
        <v>0</v>
      </c>
      <c r="G16" s="18">
        <f>IF(N16="Non",MAX(Septembre[[#This Row],[Charge Initiale (h)]]-Septembre[[#This Row],[TPS Cumul (h)]],0),0)</f>
        <v>4</v>
      </c>
      <c r="H16" s="18">
        <f>Septembre[[#This Row],[TPS Cumul (h)]]+Septembre[[#This Row],[Reste à passer (h) ]]</f>
        <v>4</v>
      </c>
      <c r="I16" s="18">
        <f>Septembre[[#This Row],[CR (h)]] - Septembre[[#This Row],[Charge Initiale (h)]]</f>
        <v>0</v>
      </c>
      <c r="J1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6" s="4">
        <f>IF(Septembre[[#This Row],[TPS Cumul (h)]]&gt;0,Septembre[[#This Row],[Charge Initiale (h)]]*Septembre[[#This Row],[Prix de revien unitaire(€)]],0)</f>
        <v>0</v>
      </c>
      <c r="L16" s="18">
        <f>Septembre[[#This Row],[CR (h)]]*Septembre[[#This Row],[Prix de revien unitaire(€)]]</f>
        <v>272</v>
      </c>
      <c r="M16" s="18">
        <f>Septembre[[#This Row],[Prix de revien unitaire(€)]]*Septembre[[#This Row],[TPS Cumul (h)]]</f>
        <v>0</v>
      </c>
      <c r="N16" s="3" t="s">
        <v>39</v>
      </c>
    </row>
    <row r="17" spans="1:14" x14ac:dyDescent="0.2">
      <c r="A17" s="34"/>
      <c r="B17" s="26" t="s">
        <v>51</v>
      </c>
      <c r="C17" t="s">
        <v>15</v>
      </c>
      <c r="D17" s="4">
        <v>3</v>
      </c>
      <c r="E17" s="4">
        <v>0</v>
      </c>
      <c r="F17" s="4">
        <f>Septembre[[#This Row],[TPS Période(h)]]</f>
        <v>0</v>
      </c>
      <c r="G17" s="4">
        <f>IF(N17="Non",MAX(Septembre[[#This Row],[Charge Initiale (h)]]-Septembre[[#This Row],[TPS Cumul (h)]],0),0)</f>
        <v>3</v>
      </c>
      <c r="H17" s="4">
        <f>Septembre[[#This Row],[TPS Cumul (h)]]+Septembre[[#This Row],[Reste à passer (h) ]]</f>
        <v>3</v>
      </c>
      <c r="I17" s="4">
        <f>Septembre[[#This Row],[CR (h)]] - Septembre[[#This Row],[Charge Initiale (h)]]</f>
        <v>0</v>
      </c>
      <c r="J1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7" s="4">
        <f>IF(Septembre[[#This Row],[TPS Cumul (h)]]&gt;0,Septembre[[#This Row],[Charge Initiale (h)]]*Septembre[[#This Row],[Prix de revien unitaire(€)]],0)</f>
        <v>0</v>
      </c>
      <c r="L17" s="4">
        <f>Septembre[[#This Row],[CR (h)]]*Septembre[[#This Row],[Prix de revien unitaire(€)]]</f>
        <v>204</v>
      </c>
      <c r="M17" s="16">
        <f>Septembre[[#This Row],[Prix de revien unitaire(€)]]*Septembre[[#This Row],[TPS Cumul (h)]]</f>
        <v>0</v>
      </c>
      <c r="N17" s="3" t="s">
        <v>39</v>
      </c>
    </row>
    <row r="18" spans="1:14" x14ac:dyDescent="0.2">
      <c r="A18" s="39" t="s">
        <v>27</v>
      </c>
      <c r="B18" s="26" t="s">
        <v>52</v>
      </c>
      <c r="C18" t="s">
        <v>15</v>
      </c>
      <c r="D18" s="4">
        <v>10</v>
      </c>
      <c r="E18" s="4">
        <v>0</v>
      </c>
      <c r="F18" s="4">
        <f>Septembre[[#This Row],[TPS Période(h)]]</f>
        <v>0</v>
      </c>
      <c r="G18" s="4">
        <f>IF(N18="Non",MAX(Septembre[[#This Row],[Charge Initiale (h)]]-Septembre[[#This Row],[TPS Cumul (h)]],0),0)</f>
        <v>10</v>
      </c>
      <c r="H18" s="4">
        <f>Septembre[[#This Row],[TPS Cumul (h)]]+Septembre[[#This Row],[Reste à passer (h) ]]</f>
        <v>10</v>
      </c>
      <c r="I18" s="4">
        <f>Septembre[[#This Row],[CR (h)]] - Septembre[[#This Row],[Charge Initiale (h)]]</f>
        <v>0</v>
      </c>
      <c r="J1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8" s="4">
        <f>IF(Septembre[[#This Row],[TPS Cumul (h)]]&gt;0,Septembre[[#This Row],[Charge Initiale (h)]]*Septembre[[#This Row],[Prix de revien unitaire(€)]],0)</f>
        <v>0</v>
      </c>
      <c r="L18" s="4">
        <f>Septembre[[#This Row],[CR (h)]]*Septembre[[#This Row],[Prix de revien unitaire(€)]]</f>
        <v>680</v>
      </c>
      <c r="M18" s="16">
        <f>Septembre[[#This Row],[Prix de revien unitaire(€)]]*Septembre[[#This Row],[TPS Cumul (h)]]</f>
        <v>0</v>
      </c>
      <c r="N18" s="3" t="s">
        <v>39</v>
      </c>
    </row>
    <row r="19" spans="1:14" x14ac:dyDescent="0.2">
      <c r="A19" s="39"/>
      <c r="B19" s="26" t="s">
        <v>53</v>
      </c>
      <c r="C19" t="s">
        <v>15</v>
      </c>
      <c r="D19" s="4">
        <v>10</v>
      </c>
      <c r="E19" s="4">
        <v>0</v>
      </c>
      <c r="F19" s="4">
        <f>Septembre[[#This Row],[TPS Période(h)]]</f>
        <v>0</v>
      </c>
      <c r="G19" s="4">
        <f>IF(N19="Non",MAX(Septembre[[#This Row],[Charge Initiale (h)]]-Septembre[[#This Row],[TPS Cumul (h)]],0),0)</f>
        <v>10</v>
      </c>
      <c r="H19" s="4">
        <f>Septembre[[#This Row],[TPS Cumul (h)]]+Septembre[[#This Row],[Reste à passer (h) ]]</f>
        <v>10</v>
      </c>
      <c r="I19" s="4">
        <f>Septembre[[#This Row],[CR (h)]] - Septembre[[#This Row],[Charge Initiale (h)]]</f>
        <v>0</v>
      </c>
      <c r="J1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9" s="4">
        <f>IF(Septembre[[#This Row],[TPS Cumul (h)]]&gt;0,Septembre[[#This Row],[Charge Initiale (h)]]*Septembre[[#This Row],[Prix de revien unitaire(€)]],0)</f>
        <v>0</v>
      </c>
      <c r="L19" s="4">
        <f>Septembre[[#This Row],[CR (h)]]*Septembre[[#This Row],[Prix de revien unitaire(€)]]</f>
        <v>680</v>
      </c>
      <c r="M19" s="16">
        <f>Septembre[[#This Row],[Prix de revien unitaire(€)]]*Septembre[[#This Row],[TPS Cumul (h)]]</f>
        <v>0</v>
      </c>
      <c r="N19" s="3" t="s">
        <v>39</v>
      </c>
    </row>
    <row r="20" spans="1:14" x14ac:dyDescent="0.2">
      <c r="A20" s="39"/>
      <c r="B20" s="26" t="s">
        <v>54</v>
      </c>
      <c r="C20" t="s">
        <v>15</v>
      </c>
      <c r="D20" s="4">
        <v>3</v>
      </c>
      <c r="E20" s="4">
        <v>0</v>
      </c>
      <c r="F20" s="4">
        <f>Septembre[[#This Row],[TPS Période(h)]]</f>
        <v>0</v>
      </c>
      <c r="G20" s="4">
        <f>IF(N20="Non",MAX(Septembre[[#This Row],[Charge Initiale (h)]]-Septembre[[#This Row],[TPS Cumul (h)]],0),0)</f>
        <v>3</v>
      </c>
      <c r="H20" s="4">
        <f>Septembre[[#This Row],[TPS Cumul (h)]]+Septembre[[#This Row],[Reste à passer (h) ]]</f>
        <v>3</v>
      </c>
      <c r="I20" s="4">
        <f>Septembre[[#This Row],[CR (h)]] - Septembre[[#This Row],[Charge Initiale (h)]]</f>
        <v>0</v>
      </c>
      <c r="J2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0" s="4">
        <f>IF(Septembre[[#This Row],[TPS Cumul (h)]]&gt;0,Septembre[[#This Row],[Charge Initiale (h)]]*Septembre[[#This Row],[Prix de revien unitaire(€)]],0)</f>
        <v>0</v>
      </c>
      <c r="L20" s="4">
        <f>Septembre[[#This Row],[CR (h)]]*Septembre[[#This Row],[Prix de revien unitaire(€)]]</f>
        <v>204</v>
      </c>
      <c r="M20" s="16">
        <f>Septembre[[#This Row],[Prix de revien unitaire(€)]]*Septembre[[#This Row],[TPS Cumul (h)]]</f>
        <v>0</v>
      </c>
      <c r="N20" s="3" t="s">
        <v>39</v>
      </c>
    </row>
    <row r="21" spans="1:14" x14ac:dyDescent="0.2">
      <c r="A21" s="39"/>
      <c r="B21" s="27" t="s">
        <v>62</v>
      </c>
      <c r="C21" t="s">
        <v>15</v>
      </c>
      <c r="D21" s="4">
        <v>7</v>
      </c>
      <c r="E21" s="4">
        <v>0</v>
      </c>
      <c r="F21" s="4">
        <f>Septembre[[#This Row],[TPS Période(h)]]</f>
        <v>0</v>
      </c>
      <c r="G21" s="4">
        <f>IF(N21="Non",MAX(Septembre[[#This Row],[Charge Initiale (h)]]-Septembre[[#This Row],[TPS Cumul (h)]],0),0)</f>
        <v>7</v>
      </c>
      <c r="H21" s="4">
        <f>Septembre[[#This Row],[TPS Cumul (h)]]+Septembre[[#This Row],[Reste à passer (h) ]]</f>
        <v>7</v>
      </c>
      <c r="I21" s="4">
        <f>Septembre[[#This Row],[CR (h)]] - Septembre[[#This Row],[Charge Initiale (h)]]</f>
        <v>0</v>
      </c>
      <c r="J2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1" s="4">
        <f>IF(Septembre[[#This Row],[TPS Cumul (h)]]&gt;0,Septembre[[#This Row],[Charge Initiale (h)]]*Septembre[[#This Row],[Prix de revien unitaire(€)]],0)</f>
        <v>0</v>
      </c>
      <c r="L21" s="4">
        <f>Septembre[[#This Row],[CR (h)]]*Septembre[[#This Row],[Prix de revien unitaire(€)]]</f>
        <v>476</v>
      </c>
      <c r="M21" s="16">
        <f>Septembre[[#This Row],[Prix de revien unitaire(€)]]*Septembre[[#This Row],[TPS Cumul (h)]]</f>
        <v>0</v>
      </c>
      <c r="N21" s="3" t="s">
        <v>39</v>
      </c>
    </row>
    <row r="22" spans="1:14" x14ac:dyDescent="0.2">
      <c r="A22" s="33" t="s">
        <v>28</v>
      </c>
      <c r="B22" s="26" t="s">
        <v>55</v>
      </c>
      <c r="C22" t="s">
        <v>15</v>
      </c>
      <c r="D22" s="4">
        <v>7</v>
      </c>
      <c r="E22" s="4">
        <v>0</v>
      </c>
      <c r="F22" s="4">
        <f>Septembre[[#This Row],[TPS Période(h)]]</f>
        <v>0</v>
      </c>
      <c r="G22" s="4">
        <f>IF(N22="Non",MAX(Septembre[[#This Row],[Charge Initiale (h)]]-Septembre[[#This Row],[TPS Cumul (h)]],0),0)</f>
        <v>7</v>
      </c>
      <c r="H22" s="4">
        <f>Septembre[[#This Row],[TPS Cumul (h)]]+Septembre[[#This Row],[Reste à passer (h) ]]</f>
        <v>7</v>
      </c>
      <c r="I22" s="4">
        <f>Septembre[[#This Row],[CR (h)]] - Septembre[[#This Row],[Charge Initiale (h)]]</f>
        <v>0</v>
      </c>
      <c r="J2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2" s="4">
        <f>IF(Septembre[[#This Row],[TPS Cumul (h)]]&gt;0,Septembre[[#This Row],[Charge Initiale (h)]]*Septembre[[#This Row],[Prix de revien unitaire(€)]],0)</f>
        <v>0</v>
      </c>
      <c r="L22" s="4">
        <f>Septembre[[#This Row],[CR (h)]]*Septembre[[#This Row],[Prix de revien unitaire(€)]]</f>
        <v>476</v>
      </c>
      <c r="M22" s="16">
        <f>Septembre[[#This Row],[Prix de revien unitaire(€)]]*Septembre[[#This Row],[TPS Cumul (h)]]</f>
        <v>0</v>
      </c>
      <c r="N22" s="3" t="s">
        <v>39</v>
      </c>
    </row>
    <row r="23" spans="1:14" x14ac:dyDescent="0.2">
      <c r="A23" s="33"/>
      <c r="B23" s="25" t="s">
        <v>56</v>
      </c>
      <c r="C23" t="s">
        <v>15</v>
      </c>
      <c r="D23" s="4">
        <v>2</v>
      </c>
      <c r="E23" s="4">
        <v>0</v>
      </c>
      <c r="F23" s="4">
        <f>Septembre[[#This Row],[TPS Période(h)]]</f>
        <v>0</v>
      </c>
      <c r="G23" s="4">
        <f>IF(N23="Non",MAX(Septembre[[#This Row],[Charge Initiale (h)]]-Septembre[[#This Row],[TPS Cumul (h)]],0),0)</f>
        <v>2</v>
      </c>
      <c r="H23" s="4">
        <f>Septembre[[#This Row],[TPS Cumul (h)]]+Septembre[[#This Row],[Reste à passer (h) ]]</f>
        <v>2</v>
      </c>
      <c r="I23" s="4">
        <f>Septembre[[#This Row],[CR (h)]] - Septembre[[#This Row],[Charge Initiale (h)]]</f>
        <v>0</v>
      </c>
      <c r="J2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3" s="4">
        <f>IF(Septembre[[#This Row],[TPS Cumul (h)]]&gt;0,Septembre[[#This Row],[Charge Initiale (h)]]*Septembre[[#This Row],[Prix de revien unitaire(€)]],0)</f>
        <v>0</v>
      </c>
      <c r="L23" s="4">
        <f>Septembre[[#This Row],[CR (h)]]*Septembre[[#This Row],[Prix de revien unitaire(€)]]</f>
        <v>136</v>
      </c>
      <c r="M23" s="16">
        <f>Septembre[[#This Row],[Prix de revien unitaire(€)]]*Septembre[[#This Row],[TPS Cumul (h)]]</f>
        <v>0</v>
      </c>
      <c r="N23" s="3" t="s">
        <v>39</v>
      </c>
    </row>
    <row r="24" spans="1:14" x14ac:dyDescent="0.2">
      <c r="A24" s="35" t="s">
        <v>29</v>
      </c>
      <c r="B24" s="26" t="s">
        <v>57</v>
      </c>
      <c r="C24" t="s">
        <v>15</v>
      </c>
      <c r="D24" s="4">
        <v>2</v>
      </c>
      <c r="E24" s="4">
        <v>0</v>
      </c>
      <c r="F24" s="4">
        <f>Septembre[[#This Row],[TPS Période(h)]]</f>
        <v>0</v>
      </c>
      <c r="G24" s="4">
        <f>IF(N24="Non",MAX(Septembre[[#This Row],[Charge Initiale (h)]]-Septembre[[#This Row],[TPS Cumul (h)]],0),0)</f>
        <v>2</v>
      </c>
      <c r="H24" s="4">
        <f>Septembre[[#This Row],[TPS Cumul (h)]]+Septembre[[#This Row],[Reste à passer (h) ]]</f>
        <v>2</v>
      </c>
      <c r="I24" s="4">
        <f>Septembre[[#This Row],[CR (h)]] - Septembre[[#This Row],[Charge Initiale (h)]]</f>
        <v>0</v>
      </c>
      <c r="J2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4" s="4">
        <f>IF(Septembre[[#This Row],[TPS Cumul (h)]]&gt;0,Septembre[[#This Row],[Charge Initiale (h)]]*Septembre[[#This Row],[Prix de revien unitaire(€)]],0)</f>
        <v>0</v>
      </c>
      <c r="L24" s="4">
        <f>Septembre[[#This Row],[CR (h)]]*Septembre[[#This Row],[Prix de revien unitaire(€)]]</f>
        <v>136</v>
      </c>
      <c r="M24" s="16">
        <f>Septembre[[#This Row],[Prix de revien unitaire(€)]]*Septembre[[#This Row],[TPS Cumul (h)]]</f>
        <v>0</v>
      </c>
      <c r="N24" s="3" t="s">
        <v>39</v>
      </c>
    </row>
    <row r="25" spans="1:14" x14ac:dyDescent="0.2">
      <c r="A25" s="35"/>
      <c r="B25" s="26" t="s">
        <v>58</v>
      </c>
      <c r="C25" t="s">
        <v>15</v>
      </c>
      <c r="D25" s="4">
        <v>2</v>
      </c>
      <c r="E25" s="4">
        <v>0</v>
      </c>
      <c r="F25" s="4">
        <f>Septembre[[#This Row],[TPS Période(h)]]</f>
        <v>0</v>
      </c>
      <c r="G25" s="4">
        <f>IF(N25="Non",MAX(Septembre[[#This Row],[Charge Initiale (h)]]-Septembre[[#This Row],[TPS Cumul (h)]],0),0)</f>
        <v>2</v>
      </c>
      <c r="H25" s="4">
        <f>Septembre[[#This Row],[TPS Cumul (h)]]+Septembre[[#This Row],[Reste à passer (h) ]]</f>
        <v>2</v>
      </c>
      <c r="I25" s="4">
        <f>Septembre[[#This Row],[CR (h)]] - Septembre[[#This Row],[Charge Initiale (h)]]</f>
        <v>0</v>
      </c>
      <c r="J2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5" s="4">
        <f>IF(Septembre[[#This Row],[TPS Cumul (h)]]&gt;0,Septembre[[#This Row],[Charge Initiale (h)]]*Septembre[[#This Row],[Prix de revien unitaire(€)]],0)</f>
        <v>0</v>
      </c>
      <c r="L25" s="4">
        <f>Septembre[[#This Row],[CR (h)]]*Septembre[[#This Row],[Prix de revien unitaire(€)]]</f>
        <v>136</v>
      </c>
      <c r="M25" s="16">
        <f>Septembre[[#This Row],[Prix de revien unitaire(€)]]*Septembre[[#This Row],[TPS Cumul (h)]]</f>
        <v>0</v>
      </c>
      <c r="N25" s="3" t="s">
        <v>39</v>
      </c>
    </row>
    <row r="26" spans="1:14" x14ac:dyDescent="0.2">
      <c r="A26" s="36" t="s">
        <v>30</v>
      </c>
      <c r="B26" s="26" t="s">
        <v>59</v>
      </c>
      <c r="C26" t="s">
        <v>15</v>
      </c>
      <c r="D26" s="4">
        <v>10</v>
      </c>
      <c r="E26" s="4">
        <v>0</v>
      </c>
      <c r="F26" s="4">
        <f>Septembre[[#This Row],[TPS Période(h)]]</f>
        <v>0</v>
      </c>
      <c r="G26" s="4">
        <f>IF(N26="Non",MAX(Septembre[[#This Row],[Charge Initiale (h)]]-Septembre[[#This Row],[TPS Cumul (h)]],0),0)</f>
        <v>10</v>
      </c>
      <c r="H26" s="4">
        <f>Septembre[[#This Row],[TPS Cumul (h)]]+Septembre[[#This Row],[Reste à passer (h) ]]</f>
        <v>10</v>
      </c>
      <c r="I26" s="4">
        <f>Septembre[[#This Row],[CR (h)]] - Septembre[[#This Row],[Charge Initiale (h)]]</f>
        <v>0</v>
      </c>
      <c r="J2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6" s="4">
        <f>IF(Septembre[[#This Row],[TPS Cumul (h)]]&gt;0,Septembre[[#This Row],[Charge Initiale (h)]]*Septembre[[#This Row],[Prix de revien unitaire(€)]],0)</f>
        <v>0</v>
      </c>
      <c r="L26" s="4">
        <f>Septembre[[#This Row],[CR (h)]]*Septembre[[#This Row],[Prix de revien unitaire(€)]]</f>
        <v>680</v>
      </c>
      <c r="M26" s="16">
        <f>Septembre[[#This Row],[Prix de revien unitaire(€)]]*Septembre[[#This Row],[TPS Cumul (h)]]</f>
        <v>0</v>
      </c>
      <c r="N26" s="3" t="s">
        <v>39</v>
      </c>
    </row>
    <row r="27" spans="1:14" x14ac:dyDescent="0.2">
      <c r="A27" s="37"/>
      <c r="B27" s="26" t="s">
        <v>61</v>
      </c>
      <c r="C27" t="s">
        <v>15</v>
      </c>
      <c r="D27" s="4">
        <v>2</v>
      </c>
      <c r="E27" s="4">
        <v>0</v>
      </c>
      <c r="F27" s="4">
        <f>Septembre[[#This Row],[TPS Période(h)]]</f>
        <v>0</v>
      </c>
      <c r="G27" s="4">
        <f>IF(N27="Non",MAX(Septembre[[#This Row],[Charge Initiale (h)]]-Septembre[[#This Row],[TPS Cumul (h)]],0),0)</f>
        <v>2</v>
      </c>
      <c r="H27" s="4">
        <f>Septembre[[#This Row],[TPS Cumul (h)]]+Septembre[[#This Row],[Reste à passer (h) ]]</f>
        <v>2</v>
      </c>
      <c r="I27" s="4">
        <f>Septembre[[#This Row],[CR (h)]] - Septembre[[#This Row],[Charge Initiale (h)]]</f>
        <v>0</v>
      </c>
      <c r="J2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7" s="4">
        <f>IF(Septembre[[#This Row],[TPS Cumul (h)]]&gt;0,Septembre[[#This Row],[Charge Initiale (h)]]*Septembre[[#This Row],[Prix de revien unitaire(€)]],0)</f>
        <v>0</v>
      </c>
      <c r="L27" s="4">
        <f>Septembre[[#This Row],[CR (h)]]*Septembre[[#This Row],[Prix de revien unitaire(€)]]</f>
        <v>136</v>
      </c>
      <c r="M27" s="16">
        <f>Septembre[[#This Row],[Prix de revien unitaire(€)]]*Septembre[[#This Row],[TPS Cumul (h)]]</f>
        <v>0</v>
      </c>
      <c r="N27" s="3" t="s">
        <v>39</v>
      </c>
    </row>
    <row r="28" spans="1:14" x14ac:dyDescent="0.2">
      <c r="A28" s="34" t="s">
        <v>31</v>
      </c>
      <c r="B28" s="26" t="s">
        <v>60</v>
      </c>
      <c r="C28" t="s">
        <v>15</v>
      </c>
      <c r="D28" s="4">
        <v>3</v>
      </c>
      <c r="E28" s="4">
        <v>0</v>
      </c>
      <c r="F28" s="4">
        <f>Septembre[[#This Row],[TPS Période(h)]]</f>
        <v>0</v>
      </c>
      <c r="G28" s="4">
        <f>IF(N28="Non",MAX(Septembre[[#This Row],[Charge Initiale (h)]]-Septembre[[#This Row],[TPS Cumul (h)]],0),0)</f>
        <v>3</v>
      </c>
      <c r="H28" s="4">
        <f>Septembre[[#This Row],[TPS Cumul (h)]]+Septembre[[#This Row],[Reste à passer (h) ]]</f>
        <v>3</v>
      </c>
      <c r="I28" s="4">
        <f>Septembre[[#This Row],[CR (h)]] - Septembre[[#This Row],[Charge Initiale (h)]]</f>
        <v>0</v>
      </c>
      <c r="J2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8" s="4">
        <f>IF(Septembre[[#This Row],[TPS Cumul (h)]]&gt;0,Septembre[[#This Row],[Charge Initiale (h)]]*Septembre[[#This Row],[Prix de revien unitaire(€)]],0)</f>
        <v>0</v>
      </c>
      <c r="L28" s="4">
        <f>Septembre[[#This Row],[CR (h)]]*Septembre[[#This Row],[Prix de revien unitaire(€)]]</f>
        <v>204</v>
      </c>
      <c r="M28" s="16">
        <f>Septembre[[#This Row],[Prix de revien unitaire(€)]]*Septembre[[#This Row],[TPS Cumul (h)]]</f>
        <v>0</v>
      </c>
      <c r="N28" s="3" t="s">
        <v>39</v>
      </c>
    </row>
    <row r="29" spans="1:14" x14ac:dyDescent="0.2">
      <c r="A29" s="34"/>
      <c r="B29" s="26" t="s">
        <v>63</v>
      </c>
      <c r="C29" t="s">
        <v>15</v>
      </c>
      <c r="D29" s="4">
        <v>0</v>
      </c>
      <c r="E29" s="4">
        <v>0</v>
      </c>
      <c r="F29" s="4">
        <f>Septembre[[#This Row],[TPS Période(h)]]</f>
        <v>0</v>
      </c>
      <c r="G29" s="4">
        <f>IF(N29="Non",MAX(Septembre[[#This Row],[Charge Initiale (h)]]-Septembre[[#This Row],[TPS Cumul (h)]],0),0)</f>
        <v>0</v>
      </c>
      <c r="H29" s="4">
        <f>Septembre[[#This Row],[TPS Cumul (h)]]+Septembre[[#This Row],[Reste à passer (h) ]]</f>
        <v>0</v>
      </c>
      <c r="I29" s="4">
        <f>Septembre[[#This Row],[CR (h)]] - Septembre[[#This Row],[Charge Initiale (h)]]</f>
        <v>0</v>
      </c>
      <c r="J2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9" s="4">
        <f>IF(Septembre[[#This Row],[TPS Cumul (h)]]&gt;0,Septembre[[#This Row],[Charge Initiale (h)]]*Septembre[[#This Row],[Prix de revien unitaire(€)]],0)</f>
        <v>0</v>
      </c>
      <c r="L29" s="4">
        <f>Septembre[[#This Row],[CR (h)]]*Septembre[[#This Row],[Prix de revien unitaire(€)]]</f>
        <v>0</v>
      </c>
      <c r="M29" s="16">
        <f>Septembre[[#This Row],[Prix de revien unitaire(€)]]*Septembre[[#This Row],[TPS Cumul (h)]]</f>
        <v>0</v>
      </c>
      <c r="N29" s="3" t="s">
        <v>39</v>
      </c>
    </row>
    <row r="30" spans="1:14" x14ac:dyDescent="0.2">
      <c r="A30" s="34"/>
      <c r="B30" s="26" t="s">
        <v>64</v>
      </c>
      <c r="C30" t="s">
        <v>15</v>
      </c>
      <c r="D30" s="4">
        <v>0</v>
      </c>
      <c r="E30" s="4">
        <v>0</v>
      </c>
      <c r="F30" s="4">
        <f>Septembre[[#This Row],[TPS Période(h)]]</f>
        <v>0</v>
      </c>
      <c r="G30" s="4">
        <f>IF(N30="Non",MAX(Septembre[[#This Row],[Charge Initiale (h)]]-Septembre[[#This Row],[TPS Cumul (h)]],0),0)</f>
        <v>0</v>
      </c>
      <c r="H30" s="4">
        <f>Septembre[[#This Row],[TPS Cumul (h)]]+Septembre[[#This Row],[Reste à passer (h) ]]</f>
        <v>0</v>
      </c>
      <c r="I30" s="4">
        <f>Septembre[[#This Row],[CR (h)]] - Septembre[[#This Row],[Charge Initiale (h)]]</f>
        <v>0</v>
      </c>
      <c r="J3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0" s="4">
        <f>IF(Septembre[[#This Row],[TPS Cumul (h)]]&gt;0,Septembre[[#This Row],[Charge Initiale (h)]]*Septembre[[#This Row],[Prix de revien unitaire(€)]],0)</f>
        <v>0</v>
      </c>
      <c r="L30" s="4">
        <f>Septembre[[#This Row],[CR (h)]]*Septembre[[#This Row],[Prix de revien unitaire(€)]]</f>
        <v>0</v>
      </c>
      <c r="M30" s="16">
        <f>Septembre[[#This Row],[Prix de revien unitaire(€)]]*Septembre[[#This Row],[TPS Cumul (h)]]</f>
        <v>0</v>
      </c>
      <c r="N30" s="3" t="s">
        <v>39</v>
      </c>
    </row>
    <row r="31" spans="1:14" x14ac:dyDescent="0.2">
      <c r="B31" s="2" t="s">
        <v>17</v>
      </c>
      <c r="C31" s="2"/>
      <c r="D31" s="2">
        <f>SUBTOTAL(109,Septembre[Charge Initiale (h)])</f>
        <v>115</v>
      </c>
      <c r="E31" s="2">
        <f>SUBTOTAL(109,Septembre[TPS Période(h)])</f>
        <v>16</v>
      </c>
      <c r="F31" s="2">
        <f>SUBTOTAL(109,Septembre[TPS Cumul (h)])</f>
        <v>16</v>
      </c>
      <c r="G31" s="2">
        <f>SUBTOTAL(109,Septembre[Reste à passer (h) ])</f>
        <v>99</v>
      </c>
      <c r="H31" s="2">
        <f>SUBTOTAL(109,Septembre[CR (h)])</f>
        <v>115</v>
      </c>
      <c r="I31" s="2">
        <f>SUBTOTAL(109,Septembre[ Ecart de charge (h)])</f>
        <v>0</v>
      </c>
      <c r="J31" s="2">
        <f>SUBTOTAL(109,Septembre[Prix de revien unitaire(€)])</f>
        <v>0</v>
      </c>
      <c r="K31" s="2">
        <f>SUBTOTAL(109,Septembre[Coût Initial (€)])</f>
        <v>1088</v>
      </c>
      <c r="L31" s="1">
        <f>SUBTOTAL(109,Septembre[Coût Révisé (€)])</f>
        <v>7820</v>
      </c>
      <c r="M31" s="2">
        <f>SUBTOTAL(109,Septembre[Coût Réel])</f>
        <v>1088</v>
      </c>
      <c r="N31" s="3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SUMIFS(Septembre[Charge Initiale (h)], Septembre[Qui], "Chef de Projet")</f>
        <v>115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115</v>
      </c>
      <c r="D37" s="5">
        <v>8160</v>
      </c>
    </row>
  </sheetData>
  <mergeCells count="9">
    <mergeCell ref="A2:A3"/>
    <mergeCell ref="A28:A30"/>
    <mergeCell ref="A4:A9"/>
    <mergeCell ref="A26:A27"/>
    <mergeCell ref="A10:A13"/>
    <mergeCell ref="A14:A17"/>
    <mergeCell ref="A18:A21"/>
    <mergeCell ref="A22:A23"/>
    <mergeCell ref="A24:A25"/>
  </mergeCells>
  <conditionalFormatting sqref="C2:E2">
    <cfRule type="expression" dxfId="105" priority="78">
      <formula>$F2&gt;0</formula>
    </cfRule>
  </conditionalFormatting>
  <conditionalFormatting sqref="C3:M30">
    <cfRule type="expression" dxfId="104" priority="6">
      <formula>$F3&gt;0</formula>
    </cfRule>
  </conditionalFormatting>
  <conditionalFormatting sqref="F2:M2">
    <cfRule type="expression" dxfId="103" priority="1">
      <formula>$F2&gt;0</formula>
    </cfRule>
  </conditionalFormatting>
  <dataValidations count="2">
    <dataValidation type="list" allowBlank="1" showInputMessage="1" showErrorMessage="1" sqref="C2:C30" xr:uid="{518F75D0-8E1A-4CA5-91A4-11A4C681CC13}">
      <formula1>$B$36:$B$36</formula1>
    </dataValidation>
    <dataValidation type="list" allowBlank="1" showInputMessage="1" showErrorMessage="1" sqref="N2:N30" xr:uid="{78285148-183D-4AE0-AA50-3EF42FF350A9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8AA-B985-436F-8152-E9F351E856E5}">
  <dimension ref="A1:N37"/>
  <sheetViews>
    <sheetView topLeftCell="B1" zoomScaleNormal="100" workbookViewId="0">
      <selection activeCell="N16" sqref="N16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4" max="4" width="14.33203125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5" t="s">
        <v>30</v>
      </c>
    </row>
    <row r="2" spans="1:14" x14ac:dyDescent="0.2">
      <c r="A2" s="33" t="s">
        <v>24</v>
      </c>
      <c r="B2" s="25" t="s">
        <v>40</v>
      </c>
      <c r="C2" t="s">
        <v>15</v>
      </c>
      <c r="D2" s="4">
        <v>1</v>
      </c>
      <c r="E2" s="20">
        <v>1</v>
      </c>
      <c r="F2" s="4">
        <f>Octobre[[#This Row],[TPS Période(h)]]</f>
        <v>1</v>
      </c>
      <c r="G2" s="4">
        <f>IF(N2="Non",MAX(Octobre[[#This Row],[Charge Initiale (h)]]-Octobre[[#This Row],[TPS Cumul (h)]],0),0)</f>
        <v>0</v>
      </c>
      <c r="H2" s="4">
        <f>Octobre[[#This Row],[TPS Cumul (h)]]+Octobre[[#This Row],[Reste à passer (h) ]]</f>
        <v>1</v>
      </c>
      <c r="I2" s="4">
        <f>Octobre[[#This Row],[CR (h)]] - Octobre[[#This Row],[Charge Initiale (h)]]</f>
        <v>0</v>
      </c>
      <c r="J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" s="4">
        <f>IF(Octobre[[#This Row],[TPS Cumul (h)]]&gt;0,Octobre[[#This Row],[Charge Initiale (h)]]*Octobre[[#This Row],[Prix de revien unitaire(€)]],0)</f>
        <v>68</v>
      </c>
      <c r="L2" s="4">
        <f>Octobre[[#This Row],[CR (h)]]*Octobre[[#This Row],[Prix de revien unitaire(€)]]</f>
        <v>68</v>
      </c>
      <c r="M2" s="4">
        <f>Octobre[[#This Row],[Prix de revien unitaire(€)]]*Octobre[[#This Row],[TPS Cumul (h)]]</f>
        <v>68</v>
      </c>
      <c r="N2" s="3" t="s">
        <v>38</v>
      </c>
    </row>
    <row r="3" spans="1:14" x14ac:dyDescent="0.2">
      <c r="A3" s="42"/>
      <c r="B3" s="25" t="s">
        <v>41</v>
      </c>
      <c r="C3" t="s">
        <v>15</v>
      </c>
      <c r="D3" s="4">
        <v>10</v>
      </c>
      <c r="E3" s="20">
        <v>10</v>
      </c>
      <c r="F3" s="4">
        <f>Octobre[[#This Row],[TPS Période(h)]]</f>
        <v>10</v>
      </c>
      <c r="G3" s="4">
        <f>IF(N3="Non",MAX(Octobre[[#This Row],[Charge Initiale (h)]]-Octobre[[#This Row],[TPS Cumul (h)]],0),0)</f>
        <v>0</v>
      </c>
      <c r="H3" s="4">
        <f>Octobre[[#This Row],[TPS Cumul (h)]]+Octobre[[#This Row],[Reste à passer (h) ]]</f>
        <v>10</v>
      </c>
      <c r="I3" s="4">
        <f>Octobre[[#This Row],[CR (h)]] - Octobre[[#This Row],[Charge Initiale (h)]]</f>
        <v>0</v>
      </c>
      <c r="J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3" s="4">
        <f>IF(Octobre[[#This Row],[TPS Cumul (h)]]&gt;0,Octobre[[#This Row],[Charge Initiale (h)]]*Octobre[[#This Row],[Prix de revien unitaire(€)]],0)</f>
        <v>680</v>
      </c>
      <c r="L3" s="4">
        <f>Octobre[[#This Row],[CR (h)]]*Octobre[[#This Row],[Prix de revien unitaire(€)]]</f>
        <v>680</v>
      </c>
      <c r="M3" s="4">
        <f>Octobre[[#This Row],[Prix de revien unitaire(€)]]*Octobre[[#This Row],[TPS Cumul (h)]]</f>
        <v>680</v>
      </c>
      <c r="N3" s="3" t="s">
        <v>38</v>
      </c>
    </row>
    <row r="4" spans="1:14" x14ac:dyDescent="0.2">
      <c r="A4" s="41" t="s">
        <v>16</v>
      </c>
      <c r="B4" s="25" t="s">
        <v>42</v>
      </c>
      <c r="C4" t="s">
        <v>15</v>
      </c>
      <c r="D4" s="4">
        <v>5</v>
      </c>
      <c r="E4" s="20">
        <v>5</v>
      </c>
      <c r="F4" s="4">
        <f>Octobre[[#This Row],[TPS Période(h)]]</f>
        <v>5</v>
      </c>
      <c r="G4" s="4">
        <f>IF(N4="Non",MAX(Octobre[[#This Row],[Charge Initiale (h)]]-Octobre[[#This Row],[TPS Cumul (h)]],0),0)</f>
        <v>0</v>
      </c>
      <c r="H4" s="4">
        <f>Octobre[[#This Row],[TPS Cumul (h)]]+Octobre[[#This Row],[Reste à passer (h) ]]</f>
        <v>5</v>
      </c>
      <c r="I4" s="4">
        <f>Octobre[[#This Row],[CR (h)]] - Octobre[[#This Row],[Charge Initiale (h)]]</f>
        <v>0</v>
      </c>
      <c r="J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4" s="4">
        <f>IF(Octobre[[#This Row],[TPS Cumul (h)]]&gt;0,Octobre[[#This Row],[Charge Initiale (h)]]*Octobre[[#This Row],[Prix de revien unitaire(€)]],0)</f>
        <v>340</v>
      </c>
      <c r="L4" s="4">
        <f>Octobre[[#This Row],[CR (h)]]*Octobre[[#This Row],[Prix de revien unitaire(€)]]</f>
        <v>340</v>
      </c>
      <c r="M4" s="4">
        <f>Octobre[[#This Row],[Prix de revien unitaire(€)]]*Octobre[[#This Row],[TPS Cumul (h)]]</f>
        <v>340</v>
      </c>
      <c r="N4" s="3" t="s">
        <v>38</v>
      </c>
    </row>
    <row r="5" spans="1:14" x14ac:dyDescent="0.2">
      <c r="A5" s="41"/>
      <c r="B5" s="26" t="s">
        <v>43</v>
      </c>
      <c r="C5" t="s">
        <v>15</v>
      </c>
      <c r="D5" s="4">
        <v>1</v>
      </c>
      <c r="E5" s="4"/>
      <c r="F5" s="4">
        <f>Octobre[[#This Row],[TPS Période(h)]]</f>
        <v>0</v>
      </c>
      <c r="G5" s="4">
        <f>IF(N5="Non",MAX(Octobre[[#This Row],[Charge Initiale (h)]]-Octobre[[#This Row],[TPS Cumul (h)]],0),0)</f>
        <v>1</v>
      </c>
      <c r="H5" s="4">
        <f>Octobre[[#This Row],[TPS Cumul (h)]]+Octobre[[#This Row],[Reste à passer (h) ]]</f>
        <v>1</v>
      </c>
      <c r="I5" s="4">
        <f>Octobre[[#This Row],[CR (h)]] - Octobre[[#This Row],[Charge Initiale (h)]]</f>
        <v>0</v>
      </c>
      <c r="J5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5" s="4">
        <f>IF(Octobre[[#This Row],[TPS Cumul (h)]]&gt;0,Octobre[[#This Row],[Charge Initiale (h)]]*Octobre[[#This Row],[Prix de revien unitaire(€)]],0)</f>
        <v>0</v>
      </c>
      <c r="L5" s="4">
        <f>Octobre[[#This Row],[CR (h)]]*Octobre[[#This Row],[Prix de revien unitaire(€)]]</f>
        <v>68</v>
      </c>
      <c r="M5" s="4">
        <f>Octobre[[#This Row],[Prix de revien unitaire(€)]]*Octobre[[#This Row],[TPS Cumul (h)]]</f>
        <v>0</v>
      </c>
      <c r="N5" s="3" t="s">
        <v>39</v>
      </c>
    </row>
    <row r="6" spans="1:14" x14ac:dyDescent="0.2">
      <c r="A6" s="41"/>
      <c r="B6" s="25" t="s">
        <v>44</v>
      </c>
      <c r="C6" t="s">
        <v>15</v>
      </c>
      <c r="D6" s="4">
        <v>2</v>
      </c>
      <c r="E6" s="4"/>
      <c r="F6" s="4">
        <f>Octobre[[#This Row],[TPS Période(h)]]</f>
        <v>0</v>
      </c>
      <c r="G6" s="4">
        <f>IF(N6="Non",MAX(Octobre[[#This Row],[Charge Initiale (h)]]-Octobre[[#This Row],[TPS Cumul (h)]],0),0)</f>
        <v>2</v>
      </c>
      <c r="H6" s="4">
        <f>Octobre[[#This Row],[TPS Cumul (h)]]+Octobre[[#This Row],[Reste à passer (h) ]]</f>
        <v>2</v>
      </c>
      <c r="I6" s="4">
        <f>Octobre[[#This Row],[CR (h)]] - Octobre[[#This Row],[Charge Initiale (h)]]</f>
        <v>0</v>
      </c>
      <c r="J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6" s="4">
        <f>IF(Octobre[[#This Row],[TPS Cumul (h)]]&gt;0,Octobre[[#This Row],[Charge Initiale (h)]]*Octobre[[#This Row],[Prix de revien unitaire(€)]],0)</f>
        <v>0</v>
      </c>
      <c r="L6" s="4">
        <f>Octobre[[#This Row],[CR (h)]]*Octobre[[#This Row],[Prix de revien unitaire(€)]]</f>
        <v>136</v>
      </c>
      <c r="M6" s="4">
        <f>Octobre[[#This Row],[Prix de revien unitaire(€)]]*Octobre[[#This Row],[TPS Cumul (h)]]</f>
        <v>0</v>
      </c>
      <c r="N6" s="3" t="s">
        <v>39</v>
      </c>
    </row>
    <row r="7" spans="1:14" x14ac:dyDescent="0.2">
      <c r="A7" s="41"/>
      <c r="B7" s="25" t="s">
        <v>45</v>
      </c>
      <c r="C7" t="s">
        <v>15</v>
      </c>
      <c r="D7" s="4">
        <v>2</v>
      </c>
      <c r="E7" s="4">
        <v>1</v>
      </c>
      <c r="F7" s="4">
        <f>Octobre[[#This Row],[TPS Période(h)]]</f>
        <v>1</v>
      </c>
      <c r="G7" s="4">
        <f>IF(N7="Non",MAX(Octobre[[#This Row],[Charge Initiale (h)]]-Octobre[[#This Row],[TPS Cumul (h)]],0),0)</f>
        <v>0</v>
      </c>
      <c r="H7" s="4">
        <f>Octobre[[#This Row],[TPS Cumul (h)]]+Octobre[[#This Row],[Reste à passer (h) ]]</f>
        <v>1</v>
      </c>
      <c r="I7" s="4">
        <f>Octobre[[#This Row],[CR (h)]] - Octobre[[#This Row],[Charge Initiale (h)]]</f>
        <v>-1</v>
      </c>
      <c r="J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7" s="4">
        <f>IF(Octobre[[#This Row],[TPS Cumul (h)]]&gt;0,Octobre[[#This Row],[Charge Initiale (h)]]*Octobre[[#This Row],[Prix de revien unitaire(€)]],0)</f>
        <v>136</v>
      </c>
      <c r="L7" s="4">
        <f>Octobre[[#This Row],[CR (h)]]*Octobre[[#This Row],[Prix de revien unitaire(€)]]</f>
        <v>68</v>
      </c>
      <c r="M7" s="4">
        <f>Octobre[[#This Row],[Prix de revien unitaire(€)]]*Octobre[[#This Row],[TPS Cumul (h)]]</f>
        <v>68</v>
      </c>
      <c r="N7" s="3" t="s">
        <v>38</v>
      </c>
    </row>
    <row r="8" spans="1:14" x14ac:dyDescent="0.2">
      <c r="A8" s="41"/>
      <c r="B8" s="25" t="s">
        <v>46</v>
      </c>
      <c r="C8" t="s">
        <v>15</v>
      </c>
      <c r="D8" s="4">
        <v>2</v>
      </c>
      <c r="E8" s="4">
        <v>1</v>
      </c>
      <c r="F8" s="4">
        <f>Octobre[[#This Row],[TPS Période(h)]]</f>
        <v>1</v>
      </c>
      <c r="G8" s="4">
        <f>IF(N8="Non",MAX(Octobre[[#This Row],[Charge Initiale (h)]]-Octobre[[#This Row],[TPS Cumul (h)]],0),0)</f>
        <v>0</v>
      </c>
      <c r="H8" s="4">
        <f>Octobre[[#This Row],[TPS Cumul (h)]]+Octobre[[#This Row],[Reste à passer (h) ]]</f>
        <v>1</v>
      </c>
      <c r="I8" s="4">
        <f>Octobre[[#This Row],[CR (h)]] - Octobre[[#This Row],[Charge Initiale (h)]]</f>
        <v>-1</v>
      </c>
      <c r="J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8" s="4">
        <f>IF(Octobre[[#This Row],[TPS Cumul (h)]]&gt;0,Octobre[[#This Row],[Charge Initiale (h)]]*Octobre[[#This Row],[Prix de revien unitaire(€)]],0)</f>
        <v>136</v>
      </c>
      <c r="L8" s="4">
        <f>Octobre[[#This Row],[CR (h)]]*Octobre[[#This Row],[Prix de revien unitaire(€)]]</f>
        <v>68</v>
      </c>
      <c r="M8" s="4">
        <f>Octobre[[#This Row],[Prix de revien unitaire(€)]]*Octobre[[#This Row],[TPS Cumul (h)]]</f>
        <v>68</v>
      </c>
      <c r="N8" s="3" t="s">
        <v>38</v>
      </c>
    </row>
    <row r="9" spans="1:14" x14ac:dyDescent="0.2">
      <c r="A9" s="41"/>
      <c r="B9" s="25" t="s">
        <v>47</v>
      </c>
      <c r="C9" t="s">
        <v>15</v>
      </c>
      <c r="D9" s="4">
        <v>2</v>
      </c>
      <c r="E9" s="4"/>
      <c r="F9" s="4">
        <f>Octobre[[#This Row],[TPS Période(h)]]</f>
        <v>0</v>
      </c>
      <c r="G9" s="4">
        <f>IF(N9="Non",MAX(Octobre[[#This Row],[Charge Initiale (h)]]-Octobre[[#This Row],[TPS Cumul (h)]],0),0)</f>
        <v>2</v>
      </c>
      <c r="H9" s="4">
        <f>Octobre[[#This Row],[TPS Cumul (h)]]+Octobre[[#This Row],[Reste à passer (h) ]]</f>
        <v>2</v>
      </c>
      <c r="I9" s="4">
        <f>Octobre[[#This Row],[CR (h)]] - Octobre[[#This Row],[Charge Initiale (h)]]</f>
        <v>0</v>
      </c>
      <c r="J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9" s="4">
        <f>IF(Octobre[[#This Row],[TPS Cumul (h)]]&gt;0,Octobre[[#This Row],[Charge Initiale (h)]]*Octobre[[#This Row],[Prix de revien unitaire(€)]],0)</f>
        <v>0</v>
      </c>
      <c r="L9" s="4">
        <f>Octobre[[#This Row],[CR (h)]]*Octobre[[#This Row],[Prix de revien unitaire(€)]]</f>
        <v>136</v>
      </c>
      <c r="M9" s="4">
        <f>Octobre[[#This Row],[Prix de revien unitaire(€)]]*Octobre[[#This Row],[TPS Cumul (h)]]</f>
        <v>0</v>
      </c>
      <c r="N9" s="3" t="s">
        <v>39</v>
      </c>
    </row>
    <row r="10" spans="1:14" x14ac:dyDescent="0.2">
      <c r="A10" s="37" t="s">
        <v>25</v>
      </c>
      <c r="B10" s="26" t="s">
        <v>66</v>
      </c>
      <c r="C10" t="s">
        <v>15</v>
      </c>
      <c r="D10" s="4">
        <v>4</v>
      </c>
      <c r="E10" s="4">
        <v>3</v>
      </c>
      <c r="F10" s="4">
        <f>Octobre[[#This Row],[TPS Période(h)]]</f>
        <v>3</v>
      </c>
      <c r="G10" s="4">
        <f>IF(N10="Non",MAX(Octobre[[#This Row],[Charge Initiale (h)]]-Octobre[[#This Row],[TPS Cumul (h)]],0),0)</f>
        <v>1</v>
      </c>
      <c r="H10" s="4">
        <f>Octobre[[#This Row],[TPS Cumul (h)]]+Octobre[[#This Row],[Reste à passer (h) ]]</f>
        <v>4</v>
      </c>
      <c r="I10" s="4">
        <f>Octobre[[#This Row],[CR (h)]] - Octobre[[#This Row],[Charge Initiale (h)]]</f>
        <v>0</v>
      </c>
      <c r="J1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0" s="4">
        <f>IF(Octobre[[#This Row],[TPS Cumul (h)]]&gt;0,Octobre[[#This Row],[Charge Initiale (h)]]*Octobre[[#This Row],[Prix de revien unitaire(€)]],0)</f>
        <v>272</v>
      </c>
      <c r="L10" s="4">
        <f>Octobre[[#This Row],[CR (h)]]*Octobre[[#This Row],[Prix de revien unitaire(€)]]</f>
        <v>272</v>
      </c>
      <c r="M10" s="4">
        <f>Octobre[[#This Row],[Prix de revien unitaire(€)]]*Octobre[[#This Row],[TPS Cumul (h)]]</f>
        <v>204</v>
      </c>
      <c r="N10" s="3" t="s">
        <v>39</v>
      </c>
    </row>
    <row r="11" spans="1:14" x14ac:dyDescent="0.2">
      <c r="A11" s="38"/>
      <c r="B11" s="26" t="s">
        <v>65</v>
      </c>
      <c r="C11" t="s">
        <v>15</v>
      </c>
      <c r="D11" s="4">
        <v>4</v>
      </c>
      <c r="E11" s="4"/>
      <c r="F11" s="4">
        <f>Octobre[[#This Row],[TPS Période(h)]]</f>
        <v>0</v>
      </c>
      <c r="G11" s="4">
        <f>IF(N11="Non",MAX(Octobre[[#This Row],[Charge Initiale (h)]]-Octobre[[#This Row],[TPS Cumul (h)]],0),0)</f>
        <v>4</v>
      </c>
      <c r="H11" s="4">
        <f>Octobre[[#This Row],[TPS Cumul (h)]]+Octobre[[#This Row],[Reste à passer (h) ]]</f>
        <v>4</v>
      </c>
      <c r="I11" s="4">
        <f>Octobre[[#This Row],[CR (h)]] - Octobre[[#This Row],[Charge Initiale (h)]]</f>
        <v>0</v>
      </c>
      <c r="J11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1" s="4">
        <f>IF(Octobre[[#This Row],[TPS Cumul (h)]]&gt;0,Octobre[[#This Row],[Charge Initiale (h)]]*Octobre[[#This Row],[Prix de revien unitaire(€)]],0)</f>
        <v>0</v>
      </c>
      <c r="L11" s="4">
        <f>Octobre[[#This Row],[CR (h)]]*Octobre[[#This Row],[Prix de revien unitaire(€)]]</f>
        <v>272</v>
      </c>
      <c r="M11" s="4">
        <f>Octobre[[#This Row],[Prix de revien unitaire(€)]]*Octobre[[#This Row],[TPS Cumul (h)]]</f>
        <v>0</v>
      </c>
      <c r="N11" s="3" t="s">
        <v>39</v>
      </c>
    </row>
    <row r="12" spans="1:14" x14ac:dyDescent="0.2">
      <c r="A12" s="38"/>
      <c r="B12" s="25" t="s">
        <v>48</v>
      </c>
      <c r="C12" t="s">
        <v>15</v>
      </c>
      <c r="D12" s="4">
        <v>1</v>
      </c>
      <c r="E12" s="4">
        <v>3</v>
      </c>
      <c r="F12" s="4">
        <f>Octobre[[#This Row],[TPS Période(h)]]</f>
        <v>3</v>
      </c>
      <c r="G12" s="4">
        <f>IF(N12="Non",MAX(Octobre[[#This Row],[Charge Initiale (h)]]-Octobre[[#This Row],[TPS Cumul (h)]],0),0)</f>
        <v>0</v>
      </c>
      <c r="H12" s="4">
        <f>Octobre[[#This Row],[TPS Cumul (h)]]+Octobre[[#This Row],[Reste à passer (h) ]]</f>
        <v>3</v>
      </c>
      <c r="I12" s="4">
        <f>Octobre[[#This Row],[CR (h)]] - Octobre[[#This Row],[Charge Initiale (h)]]</f>
        <v>2</v>
      </c>
      <c r="J1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2" s="4">
        <f>IF(Octobre[[#This Row],[TPS Cumul (h)]]&gt;0,Octobre[[#This Row],[Charge Initiale (h)]]*Octobre[[#This Row],[Prix de revien unitaire(€)]],0)</f>
        <v>68</v>
      </c>
      <c r="L12" s="4">
        <f>Octobre[[#This Row],[CR (h)]]*Octobre[[#This Row],[Prix de revien unitaire(€)]]</f>
        <v>204</v>
      </c>
      <c r="M12" s="4">
        <f>Octobre[[#This Row],[Prix de revien unitaire(€)]]*Octobre[[#This Row],[TPS Cumul (h)]]</f>
        <v>204</v>
      </c>
      <c r="N12" s="3" t="s">
        <v>39</v>
      </c>
    </row>
    <row r="13" spans="1:14" x14ac:dyDescent="0.2">
      <c r="A13" s="38"/>
      <c r="B13" s="25" t="s">
        <v>49</v>
      </c>
      <c r="C13" t="s">
        <v>15</v>
      </c>
      <c r="D13" s="4">
        <v>2</v>
      </c>
      <c r="E13" s="4">
        <v>1</v>
      </c>
      <c r="F13" s="4">
        <f>Octobre[[#This Row],[TPS Période(h)]]</f>
        <v>1</v>
      </c>
      <c r="G13" s="4">
        <f>IF(N13="Non",MAX(Octobre[[#This Row],[Charge Initiale (h)]]-Octobre[[#This Row],[TPS Cumul (h)]],0),0)</f>
        <v>1</v>
      </c>
      <c r="H13" s="4">
        <f>Octobre[[#This Row],[TPS Cumul (h)]]+Octobre[[#This Row],[Reste à passer (h) ]]</f>
        <v>2</v>
      </c>
      <c r="I13" s="4">
        <f>Octobre[[#This Row],[CR (h)]] - Octobre[[#This Row],[Charge Initiale (h)]]</f>
        <v>0</v>
      </c>
      <c r="J1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3" s="4">
        <f>IF(Octobre[[#This Row],[TPS Cumul (h)]]&gt;0,Octobre[[#This Row],[Charge Initiale (h)]]*Octobre[[#This Row],[Prix de revien unitaire(€)]],0)</f>
        <v>136</v>
      </c>
      <c r="L13" s="4">
        <f>Octobre[[#This Row],[CR (h)]]*Octobre[[#This Row],[Prix de revien unitaire(€)]]</f>
        <v>136</v>
      </c>
      <c r="M13" s="4">
        <f>Octobre[[#This Row],[Prix de revien unitaire(€)]]*Octobre[[#This Row],[TPS Cumul (h)]]</f>
        <v>68</v>
      </c>
      <c r="N13" s="3" t="s">
        <v>39</v>
      </c>
    </row>
    <row r="14" spans="1:14" x14ac:dyDescent="0.2">
      <c r="A14" s="34" t="s">
        <v>26</v>
      </c>
      <c r="B14" s="26" t="s">
        <v>68</v>
      </c>
      <c r="C14" t="s">
        <v>15</v>
      </c>
      <c r="D14" s="4">
        <v>7</v>
      </c>
      <c r="E14" s="4"/>
      <c r="F14" s="4">
        <f>Octobre[[#This Row],[TPS Période(h)]]</f>
        <v>0</v>
      </c>
      <c r="G14" s="4">
        <f>IF(N14="Non",MAX(Octobre[[#This Row],[Charge Initiale (h)]]-Octobre[[#This Row],[TPS Cumul (h)]],0),0)</f>
        <v>7</v>
      </c>
      <c r="H14" s="4">
        <f>Octobre[[#This Row],[TPS Cumul (h)]]+Octobre[[#This Row],[Reste à passer (h) ]]</f>
        <v>7</v>
      </c>
      <c r="I14" s="4">
        <f>Octobre[[#This Row],[CR (h)]] - Octobre[[#This Row],[Charge Initiale (h)]]</f>
        <v>0</v>
      </c>
      <c r="J1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4" s="4">
        <f>IF(Octobre[[#This Row],[TPS Cumul (h)]]&gt;0,Octobre[[#This Row],[Charge Initiale (h)]]*Octobre[[#This Row],[Prix de revien unitaire(€)]],0)</f>
        <v>0</v>
      </c>
      <c r="L14" s="4">
        <f>Octobre[[#This Row],[CR (h)]]*Octobre[[#This Row],[Prix de revien unitaire(€)]]</f>
        <v>476</v>
      </c>
      <c r="M14" s="4">
        <f>Octobre[[#This Row],[Prix de revien unitaire(€)]]*Octobre[[#This Row],[TPS Cumul (h)]]</f>
        <v>0</v>
      </c>
      <c r="N14" s="3" t="s">
        <v>39</v>
      </c>
    </row>
    <row r="15" spans="1:14" x14ac:dyDescent="0.2">
      <c r="A15" s="34"/>
      <c r="B15" s="26" t="s">
        <v>67</v>
      </c>
      <c r="C15" t="s">
        <v>15</v>
      </c>
      <c r="D15" s="4">
        <v>7</v>
      </c>
      <c r="E15" s="18">
        <v>2</v>
      </c>
      <c r="F15" s="18">
        <f>Octobre[[#This Row],[TPS Période(h)]]</f>
        <v>2</v>
      </c>
      <c r="G15" s="18">
        <f>IF(N15="Non",MAX(Octobre[[#This Row],[Charge Initiale (h)]]-Octobre[[#This Row],[TPS Cumul (h)]],0),0)</f>
        <v>0</v>
      </c>
      <c r="H15" s="18">
        <f>Octobre[[#This Row],[TPS Cumul (h)]]+Octobre[[#This Row],[Reste à passer (h) ]]</f>
        <v>2</v>
      </c>
      <c r="I15" s="18">
        <f>Octobre[[#This Row],[CR (h)]] - Octobre[[#This Row],[Charge Initiale (h)]]</f>
        <v>-5</v>
      </c>
      <c r="J15" s="18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5" s="4">
        <f>IF(Octobre[[#This Row],[TPS Cumul (h)]]&gt;0,Octobre[[#This Row],[Charge Initiale (h)]]*Octobre[[#This Row],[Prix de revien unitaire(€)]],0)</f>
        <v>476</v>
      </c>
      <c r="L15" s="18">
        <f>Octobre[[#This Row],[CR (h)]]*Octobre[[#This Row],[Prix de revien unitaire(€)]]</f>
        <v>136</v>
      </c>
      <c r="M15" s="18">
        <f>Octobre[[#This Row],[Prix de revien unitaire(€)]]*Octobre[[#This Row],[TPS Cumul (h)]]</f>
        <v>136</v>
      </c>
      <c r="N15" s="3"/>
    </row>
    <row r="16" spans="1:14" x14ac:dyDescent="0.2">
      <c r="A16" s="34"/>
      <c r="B16" s="26" t="s">
        <v>50</v>
      </c>
      <c r="C16" t="s">
        <v>15</v>
      </c>
      <c r="D16" s="18">
        <v>4</v>
      </c>
      <c r="E16" s="4"/>
      <c r="F16" s="4">
        <f>Octobre[[#This Row],[TPS Période(h)]]</f>
        <v>0</v>
      </c>
      <c r="G16" s="4">
        <f>IF(N16="Non",MAX(Octobre[[#This Row],[Charge Initiale (h)]]-Octobre[[#This Row],[TPS Cumul (h)]],0),0)</f>
        <v>4</v>
      </c>
      <c r="H16" s="4">
        <f>Octobre[[#This Row],[TPS Cumul (h)]]+Octobre[[#This Row],[Reste à passer (h) ]]</f>
        <v>4</v>
      </c>
      <c r="I16" s="4">
        <f>Octobre[[#This Row],[CR (h)]] - Octobre[[#This Row],[Charge Initiale (h)]]</f>
        <v>0</v>
      </c>
      <c r="J1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6" s="4">
        <f>IF(Octobre[[#This Row],[TPS Cumul (h)]]&gt;0,Octobre[[#This Row],[Charge Initiale (h)]]*Octobre[[#This Row],[Prix de revien unitaire(€)]],0)</f>
        <v>0</v>
      </c>
      <c r="L16" s="4">
        <f>Octobre[[#This Row],[CR (h)]]*Octobre[[#This Row],[Prix de revien unitaire(€)]]</f>
        <v>272</v>
      </c>
      <c r="M16" s="4">
        <f>Octobre[[#This Row],[Prix de revien unitaire(€)]]*Octobre[[#This Row],[TPS Cumul (h)]]</f>
        <v>0</v>
      </c>
      <c r="N16" s="3" t="s">
        <v>39</v>
      </c>
    </row>
    <row r="17" spans="1:14" x14ac:dyDescent="0.2">
      <c r="A17" s="34"/>
      <c r="B17" s="26" t="s">
        <v>51</v>
      </c>
      <c r="C17" t="s">
        <v>15</v>
      </c>
      <c r="D17" s="4">
        <v>3</v>
      </c>
      <c r="E17" s="4">
        <v>2</v>
      </c>
      <c r="F17" s="4">
        <f>Octobre[[#This Row],[TPS Période(h)]]</f>
        <v>2</v>
      </c>
      <c r="G17" s="4">
        <f>IF(N17="Non",MAX(Octobre[[#This Row],[Charge Initiale (h)]]-Octobre[[#This Row],[TPS Cumul (h)]],0),0)</f>
        <v>1</v>
      </c>
      <c r="H17" s="4">
        <f>Octobre[[#This Row],[TPS Cumul (h)]]+Octobre[[#This Row],[Reste à passer (h) ]]</f>
        <v>3</v>
      </c>
      <c r="I17" s="4">
        <f>Octobre[[#This Row],[CR (h)]] - Octobre[[#This Row],[Charge Initiale (h)]]</f>
        <v>0</v>
      </c>
      <c r="J1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7" s="4">
        <f>IF(Octobre[[#This Row],[TPS Cumul (h)]]&gt;0,Octobre[[#This Row],[Charge Initiale (h)]]*Octobre[[#This Row],[Prix de revien unitaire(€)]],0)</f>
        <v>204</v>
      </c>
      <c r="L17" s="4">
        <f>Octobre[[#This Row],[CR (h)]]*Octobre[[#This Row],[Prix de revien unitaire(€)]]</f>
        <v>204</v>
      </c>
      <c r="M17" s="4">
        <f>Octobre[[#This Row],[Prix de revien unitaire(€)]]*Octobre[[#This Row],[TPS Cumul (h)]]</f>
        <v>136</v>
      </c>
      <c r="N17" s="3" t="s">
        <v>39</v>
      </c>
    </row>
    <row r="18" spans="1:14" x14ac:dyDescent="0.2">
      <c r="A18" s="43" t="s">
        <v>27</v>
      </c>
      <c r="B18" s="26" t="s">
        <v>52</v>
      </c>
      <c r="C18" t="s">
        <v>15</v>
      </c>
      <c r="D18" s="4">
        <v>10</v>
      </c>
      <c r="E18" s="4"/>
      <c r="F18" s="4">
        <f>Octobre[[#This Row],[TPS Période(h)]]</f>
        <v>0</v>
      </c>
      <c r="G18" s="4">
        <f>IF(N18="Non",MAX(Octobre[[#This Row],[Charge Initiale (h)]]-Octobre[[#This Row],[TPS Cumul (h)]],0),0)</f>
        <v>10</v>
      </c>
      <c r="H18" s="4">
        <f>Octobre[[#This Row],[TPS Cumul (h)]]+Octobre[[#This Row],[Reste à passer (h) ]]</f>
        <v>10</v>
      </c>
      <c r="I18" s="4">
        <f>Octobre[[#This Row],[CR (h)]] - Octobre[[#This Row],[Charge Initiale (h)]]</f>
        <v>0</v>
      </c>
      <c r="J1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8" s="4">
        <f>IF(Octobre[[#This Row],[TPS Cumul (h)]]&gt;0,Octobre[[#This Row],[Charge Initiale (h)]]*Octobre[[#This Row],[Prix de revien unitaire(€)]],0)</f>
        <v>0</v>
      </c>
      <c r="L18" s="4">
        <f>Octobre[[#This Row],[CR (h)]]*Octobre[[#This Row],[Prix de revien unitaire(€)]]</f>
        <v>680</v>
      </c>
      <c r="M18" s="4">
        <f>Octobre[[#This Row],[Prix de revien unitaire(€)]]*Octobre[[#This Row],[TPS Cumul (h)]]</f>
        <v>0</v>
      </c>
      <c r="N18" s="3" t="s">
        <v>39</v>
      </c>
    </row>
    <row r="19" spans="1:14" x14ac:dyDescent="0.2">
      <c r="A19" s="44"/>
      <c r="B19" s="26" t="s">
        <v>53</v>
      </c>
      <c r="C19" t="s">
        <v>15</v>
      </c>
      <c r="D19" s="4">
        <v>10</v>
      </c>
      <c r="E19" s="4"/>
      <c r="F19" s="4">
        <f>Octobre[[#This Row],[TPS Période(h)]]</f>
        <v>0</v>
      </c>
      <c r="G19" s="4">
        <f>IF(N19="Non",MAX(Octobre[[#This Row],[Charge Initiale (h)]]-Octobre[[#This Row],[TPS Cumul (h)]],0),0)</f>
        <v>10</v>
      </c>
      <c r="H19" s="4">
        <f>Octobre[[#This Row],[TPS Cumul (h)]]+Octobre[[#This Row],[Reste à passer (h) ]]</f>
        <v>10</v>
      </c>
      <c r="I19" s="4">
        <f>Octobre[[#This Row],[CR (h)]] - Octobre[[#This Row],[Charge Initiale (h)]]</f>
        <v>0</v>
      </c>
      <c r="J1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19" s="4">
        <f>IF(Octobre[[#This Row],[TPS Cumul (h)]]&gt;0,Octobre[[#This Row],[Charge Initiale (h)]]*Octobre[[#This Row],[Prix de revien unitaire(€)]],0)</f>
        <v>0</v>
      </c>
      <c r="L19" s="4">
        <f>Octobre[[#This Row],[CR (h)]]*Octobre[[#This Row],[Prix de revien unitaire(€)]]</f>
        <v>680</v>
      </c>
      <c r="M19" s="4">
        <f>Octobre[[#This Row],[Prix de revien unitaire(€)]]*Octobre[[#This Row],[TPS Cumul (h)]]</f>
        <v>0</v>
      </c>
      <c r="N19" s="3" t="s">
        <v>39</v>
      </c>
    </row>
    <row r="20" spans="1:14" x14ac:dyDescent="0.2">
      <c r="A20" s="44"/>
      <c r="B20" s="26" t="s">
        <v>54</v>
      </c>
      <c r="C20" t="s">
        <v>15</v>
      </c>
      <c r="D20" s="4">
        <v>3</v>
      </c>
      <c r="E20" s="4"/>
      <c r="F20" s="4">
        <f>Octobre[[#This Row],[TPS Période(h)]]</f>
        <v>0</v>
      </c>
      <c r="G20" s="4">
        <f>IF(N20="Non",MAX(Octobre[[#This Row],[Charge Initiale (h)]]-Octobre[[#This Row],[TPS Cumul (h)]],0),0)</f>
        <v>3</v>
      </c>
      <c r="H20" s="4">
        <f>Octobre[[#This Row],[TPS Cumul (h)]]+Octobre[[#This Row],[Reste à passer (h) ]]</f>
        <v>3</v>
      </c>
      <c r="I20" s="4">
        <f>Octobre[[#This Row],[CR (h)]] - Octobre[[#This Row],[Charge Initiale (h)]]</f>
        <v>0</v>
      </c>
      <c r="J2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0" s="4">
        <f>IF(Octobre[[#This Row],[TPS Cumul (h)]]&gt;0,Octobre[[#This Row],[Charge Initiale (h)]]*Octobre[[#This Row],[Prix de revien unitaire(€)]],0)</f>
        <v>0</v>
      </c>
      <c r="L20" s="4">
        <f>Octobre[[#This Row],[CR (h)]]*Octobre[[#This Row],[Prix de revien unitaire(€)]]</f>
        <v>204</v>
      </c>
      <c r="M20" s="4">
        <f>Octobre[[#This Row],[Prix de revien unitaire(€)]]*Octobre[[#This Row],[TPS Cumul (h)]]</f>
        <v>0</v>
      </c>
      <c r="N20" s="3" t="s">
        <v>39</v>
      </c>
    </row>
    <row r="21" spans="1:14" x14ac:dyDescent="0.2">
      <c r="A21" s="44"/>
      <c r="B21" s="27" t="s">
        <v>62</v>
      </c>
      <c r="C21" t="s">
        <v>15</v>
      </c>
      <c r="D21" s="4">
        <v>7</v>
      </c>
      <c r="E21" s="4"/>
      <c r="F21" s="4">
        <f>Octobre[[#This Row],[TPS Période(h)]]</f>
        <v>0</v>
      </c>
      <c r="G21" s="4">
        <f>IF(N21="Non",MAX(Octobre[[#This Row],[Charge Initiale (h)]]-Octobre[[#This Row],[TPS Cumul (h)]],0),0)</f>
        <v>7</v>
      </c>
      <c r="H21" s="4">
        <f>Octobre[[#This Row],[TPS Cumul (h)]]+Octobre[[#This Row],[Reste à passer (h) ]]</f>
        <v>7</v>
      </c>
      <c r="I21" s="4">
        <f>Octobre[[#This Row],[CR (h)]] - Octobre[[#This Row],[Charge Initiale (h)]]</f>
        <v>0</v>
      </c>
      <c r="J21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1" s="4">
        <f>IF(Octobre[[#This Row],[TPS Cumul (h)]]&gt;0,Octobre[[#This Row],[Charge Initiale (h)]]*Octobre[[#This Row],[Prix de revien unitaire(€)]],0)</f>
        <v>0</v>
      </c>
      <c r="L21" s="4">
        <f>Octobre[[#This Row],[CR (h)]]*Octobre[[#This Row],[Prix de revien unitaire(€)]]</f>
        <v>476</v>
      </c>
      <c r="M21" s="4">
        <f>Octobre[[#This Row],[Prix de revien unitaire(€)]]*Octobre[[#This Row],[TPS Cumul (h)]]</f>
        <v>0</v>
      </c>
      <c r="N21" s="3" t="s">
        <v>39</v>
      </c>
    </row>
    <row r="22" spans="1:14" x14ac:dyDescent="0.2">
      <c r="A22" s="33" t="s">
        <v>28</v>
      </c>
      <c r="B22" s="26" t="s">
        <v>55</v>
      </c>
      <c r="C22" t="s">
        <v>15</v>
      </c>
      <c r="D22" s="4">
        <v>7</v>
      </c>
      <c r="E22" s="4"/>
      <c r="F22" s="4">
        <f>Octobre[[#This Row],[TPS Période(h)]]</f>
        <v>0</v>
      </c>
      <c r="G22" s="4">
        <f>IF(N22="Non",MAX(Octobre[[#This Row],[Charge Initiale (h)]]-Octobre[[#This Row],[TPS Cumul (h)]],0),0)</f>
        <v>7</v>
      </c>
      <c r="H22" s="4">
        <f>Octobre[[#This Row],[TPS Cumul (h)]]+Octobre[[#This Row],[Reste à passer (h) ]]</f>
        <v>7</v>
      </c>
      <c r="I22" s="4">
        <f>Octobre[[#This Row],[CR (h)]] - Octobre[[#This Row],[Charge Initiale (h)]]</f>
        <v>0</v>
      </c>
      <c r="J22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2" s="4">
        <f>IF(Octobre[[#This Row],[TPS Cumul (h)]]&gt;0,Octobre[[#This Row],[Charge Initiale (h)]]*Octobre[[#This Row],[Prix de revien unitaire(€)]],0)</f>
        <v>0</v>
      </c>
      <c r="L22" s="4">
        <f>Octobre[[#This Row],[CR (h)]]*Octobre[[#This Row],[Prix de revien unitaire(€)]]</f>
        <v>476</v>
      </c>
      <c r="M22" s="4">
        <f>Octobre[[#This Row],[Prix de revien unitaire(€)]]*Octobre[[#This Row],[TPS Cumul (h)]]</f>
        <v>0</v>
      </c>
      <c r="N22" s="3" t="s">
        <v>39</v>
      </c>
    </row>
    <row r="23" spans="1:14" x14ac:dyDescent="0.2">
      <c r="A23" s="33"/>
      <c r="B23" s="25" t="s">
        <v>56</v>
      </c>
      <c r="C23" t="s">
        <v>15</v>
      </c>
      <c r="D23" s="4">
        <v>2</v>
      </c>
      <c r="E23" s="4"/>
      <c r="F23" s="4">
        <f>Octobre[[#This Row],[TPS Période(h)]]</f>
        <v>0</v>
      </c>
      <c r="G23" s="4">
        <f>IF(N23="Non",MAX(Octobre[[#This Row],[Charge Initiale (h)]]-Octobre[[#This Row],[TPS Cumul (h)]],0),0)</f>
        <v>2</v>
      </c>
      <c r="H23" s="4">
        <f>Octobre[[#This Row],[TPS Cumul (h)]]+Octobre[[#This Row],[Reste à passer (h) ]]</f>
        <v>2</v>
      </c>
      <c r="I23" s="4">
        <f>Octobre[[#This Row],[CR (h)]] - Octobre[[#This Row],[Charge Initiale (h)]]</f>
        <v>0</v>
      </c>
      <c r="J23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3" s="4">
        <f>IF(Octobre[[#This Row],[TPS Cumul (h)]]&gt;0,Octobre[[#This Row],[Charge Initiale (h)]]*Octobre[[#This Row],[Prix de revien unitaire(€)]],0)</f>
        <v>0</v>
      </c>
      <c r="L23" s="4">
        <f>Octobre[[#This Row],[CR (h)]]*Octobre[[#This Row],[Prix de revien unitaire(€)]]</f>
        <v>136</v>
      </c>
      <c r="M23" s="4">
        <f>Octobre[[#This Row],[Prix de revien unitaire(€)]]*Octobre[[#This Row],[TPS Cumul (h)]]</f>
        <v>0</v>
      </c>
      <c r="N23" s="3" t="s">
        <v>39</v>
      </c>
    </row>
    <row r="24" spans="1:14" x14ac:dyDescent="0.2">
      <c r="A24" s="45" t="s">
        <v>29</v>
      </c>
      <c r="B24" s="26" t="s">
        <v>57</v>
      </c>
      <c r="C24" t="s">
        <v>15</v>
      </c>
      <c r="D24" s="4">
        <v>2</v>
      </c>
      <c r="E24" s="4"/>
      <c r="F24" s="4">
        <f>Octobre[[#This Row],[TPS Période(h)]]</f>
        <v>0</v>
      </c>
      <c r="G24" s="4">
        <f>IF(N24="Non",MAX(Octobre[[#This Row],[Charge Initiale (h)]]-Octobre[[#This Row],[TPS Cumul (h)]],0),0)</f>
        <v>2</v>
      </c>
      <c r="H24" s="4">
        <f>Octobre[[#This Row],[TPS Cumul (h)]]+Octobre[[#This Row],[Reste à passer (h) ]]</f>
        <v>2</v>
      </c>
      <c r="I24" s="4">
        <f>Octobre[[#This Row],[CR (h)]] - Octobre[[#This Row],[Charge Initiale (h)]]</f>
        <v>0</v>
      </c>
      <c r="J24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4" s="4">
        <f>IF(Octobre[[#This Row],[TPS Cumul (h)]]&gt;0,Octobre[[#This Row],[Charge Initiale (h)]]*Octobre[[#This Row],[Prix de revien unitaire(€)]],0)</f>
        <v>0</v>
      </c>
      <c r="L24" s="4">
        <f>Octobre[[#This Row],[CR (h)]]*Octobre[[#This Row],[Prix de revien unitaire(€)]]</f>
        <v>136</v>
      </c>
      <c r="M24" s="4">
        <f>Octobre[[#This Row],[Prix de revien unitaire(€)]]*Octobre[[#This Row],[TPS Cumul (h)]]</f>
        <v>0</v>
      </c>
      <c r="N24" s="3" t="s">
        <v>39</v>
      </c>
    </row>
    <row r="25" spans="1:14" x14ac:dyDescent="0.2">
      <c r="A25" s="46"/>
      <c r="B25" s="26" t="s">
        <v>58</v>
      </c>
      <c r="C25" t="s">
        <v>15</v>
      </c>
      <c r="D25" s="4">
        <v>2</v>
      </c>
      <c r="E25" s="4"/>
      <c r="F25" s="4">
        <f>Octobre[[#This Row],[TPS Période(h)]]</f>
        <v>0</v>
      </c>
      <c r="G25" s="4">
        <f>IF(N25="Non",MAX(Octobre[[#This Row],[Charge Initiale (h)]]-Octobre[[#This Row],[TPS Cumul (h)]],0),0)</f>
        <v>2</v>
      </c>
      <c r="H25" s="4">
        <f>Octobre[[#This Row],[TPS Cumul (h)]]+Octobre[[#This Row],[Reste à passer (h) ]]</f>
        <v>2</v>
      </c>
      <c r="I25" s="4">
        <f>Octobre[[#This Row],[CR (h)]] - Octobre[[#This Row],[Charge Initiale (h)]]</f>
        <v>0</v>
      </c>
      <c r="J25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5" s="4">
        <f>IF(Octobre[[#This Row],[TPS Cumul (h)]]&gt;0,Octobre[[#This Row],[Charge Initiale (h)]]*Octobre[[#This Row],[Prix de revien unitaire(€)]],0)</f>
        <v>0</v>
      </c>
      <c r="L25" s="4">
        <f>Octobre[[#This Row],[CR (h)]]*Octobre[[#This Row],[Prix de revien unitaire(€)]]</f>
        <v>136</v>
      </c>
      <c r="M25" s="4">
        <f>Octobre[[#This Row],[Prix de revien unitaire(€)]]*Octobre[[#This Row],[TPS Cumul (h)]]</f>
        <v>0</v>
      </c>
      <c r="N25" s="3" t="s">
        <v>39</v>
      </c>
    </row>
    <row r="26" spans="1:14" x14ac:dyDescent="0.2">
      <c r="A26" s="19" t="s">
        <v>30</v>
      </c>
      <c r="B26" s="26" t="s">
        <v>59</v>
      </c>
      <c r="C26" t="s">
        <v>15</v>
      </c>
      <c r="D26" s="4">
        <v>10</v>
      </c>
      <c r="E26" s="4"/>
      <c r="F26" s="4">
        <f>Octobre[[#This Row],[TPS Période(h)]]</f>
        <v>0</v>
      </c>
      <c r="G26" s="4">
        <f>IF(N26="Non",MAX(Octobre[[#This Row],[Charge Initiale (h)]]-Octobre[[#This Row],[TPS Cumul (h)]],0),0)</f>
        <v>10</v>
      </c>
      <c r="H26" s="4">
        <f>Octobre[[#This Row],[TPS Cumul (h)]]+Octobre[[#This Row],[Reste à passer (h) ]]</f>
        <v>10</v>
      </c>
      <c r="I26" s="4">
        <f>Octobre[[#This Row],[CR (h)]] - Octobre[[#This Row],[Charge Initiale (h)]]</f>
        <v>0</v>
      </c>
      <c r="J26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6" s="4">
        <f>IF(Octobre[[#This Row],[TPS Cumul (h)]]&gt;0,Octobre[[#This Row],[Charge Initiale (h)]]*Octobre[[#This Row],[Prix de revien unitaire(€)]],0)</f>
        <v>0</v>
      </c>
      <c r="L26" s="4">
        <f>Octobre[[#This Row],[CR (h)]]*Octobre[[#This Row],[Prix de revien unitaire(€)]]</f>
        <v>680</v>
      </c>
      <c r="M26" s="4">
        <f>Octobre[[#This Row],[Prix de revien unitaire(€)]]*Octobre[[#This Row],[TPS Cumul (h)]]</f>
        <v>0</v>
      </c>
      <c r="N26" s="3" t="s">
        <v>39</v>
      </c>
    </row>
    <row r="27" spans="1:14" x14ac:dyDescent="0.2">
      <c r="A27" s="19"/>
      <c r="B27" s="26" t="s">
        <v>61</v>
      </c>
      <c r="C27" t="s">
        <v>15</v>
      </c>
      <c r="D27" s="4">
        <v>2</v>
      </c>
      <c r="E27" s="4"/>
      <c r="F27" s="4">
        <f>Octobre[[#This Row],[TPS Période(h)]]</f>
        <v>0</v>
      </c>
      <c r="G27" s="4">
        <f>IF(N27="Non",MAX(Octobre[[#This Row],[Charge Initiale (h)]]-Octobre[[#This Row],[TPS Cumul (h)]],0),0)</f>
        <v>2</v>
      </c>
      <c r="H27" s="4">
        <f>Octobre[[#This Row],[TPS Cumul (h)]]+Octobre[[#This Row],[Reste à passer (h) ]]</f>
        <v>2</v>
      </c>
      <c r="I27" s="4">
        <f>Octobre[[#This Row],[CR (h)]] - Octobre[[#This Row],[Charge Initiale (h)]]</f>
        <v>0</v>
      </c>
      <c r="J27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7" s="4">
        <f>IF(Octobre[[#This Row],[TPS Cumul (h)]]&gt;0,Octobre[[#This Row],[Charge Initiale (h)]]*Octobre[[#This Row],[Prix de revien unitaire(€)]],0)</f>
        <v>0</v>
      </c>
      <c r="L27" s="4">
        <f>Octobre[[#This Row],[CR (h)]]*Octobre[[#This Row],[Prix de revien unitaire(€)]]</f>
        <v>136</v>
      </c>
      <c r="M27" s="4">
        <f>Octobre[[#This Row],[Prix de revien unitaire(€)]]*Octobre[[#This Row],[TPS Cumul (h)]]</f>
        <v>0</v>
      </c>
      <c r="N27" s="3" t="s">
        <v>39</v>
      </c>
    </row>
    <row r="28" spans="1:14" x14ac:dyDescent="0.2">
      <c r="A28" s="40" t="s">
        <v>31</v>
      </c>
      <c r="B28" s="26" t="s">
        <v>60</v>
      </c>
      <c r="C28" t="s">
        <v>15</v>
      </c>
      <c r="D28" s="4">
        <v>3</v>
      </c>
      <c r="E28" s="4"/>
      <c r="F28" s="4">
        <f>Octobre[[#This Row],[TPS Période(h)]]</f>
        <v>0</v>
      </c>
      <c r="G28" s="4">
        <f>IF(N28="Non",MAX(Octobre[[#This Row],[Charge Initiale (h)]]-Octobre[[#This Row],[TPS Cumul (h)]],0),0)</f>
        <v>3</v>
      </c>
      <c r="H28" s="4">
        <f>Octobre[[#This Row],[TPS Cumul (h)]]+Octobre[[#This Row],[Reste à passer (h) ]]</f>
        <v>3</v>
      </c>
      <c r="I28" s="4">
        <f>Octobre[[#This Row],[CR (h)]] - Octobre[[#This Row],[Charge Initiale (h)]]</f>
        <v>0</v>
      </c>
      <c r="J28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8" s="4">
        <f>IF(Octobre[[#This Row],[TPS Cumul (h)]]&gt;0,Octobre[[#This Row],[Charge Initiale (h)]]*Octobre[[#This Row],[Prix de revien unitaire(€)]],0)</f>
        <v>0</v>
      </c>
      <c r="L28" s="4">
        <f>Octobre[[#This Row],[CR (h)]]*Octobre[[#This Row],[Prix de revien unitaire(€)]]</f>
        <v>204</v>
      </c>
      <c r="M28" s="4">
        <f>Octobre[[#This Row],[Prix de revien unitaire(€)]]*Octobre[[#This Row],[TPS Cumul (h)]]</f>
        <v>0</v>
      </c>
      <c r="N28" s="3" t="s">
        <v>39</v>
      </c>
    </row>
    <row r="29" spans="1:14" x14ac:dyDescent="0.2">
      <c r="A29" s="34"/>
      <c r="B29" s="26" t="s">
        <v>63</v>
      </c>
      <c r="C29" t="s">
        <v>15</v>
      </c>
      <c r="D29" s="4">
        <v>0</v>
      </c>
      <c r="E29" s="4"/>
      <c r="F29" s="4">
        <f>Octobre[[#This Row],[TPS Période(h)]]</f>
        <v>0</v>
      </c>
      <c r="G29" s="4">
        <f>IF(N29="Non",MAX(Octobre[[#This Row],[Charge Initiale (h)]]-Octobre[[#This Row],[TPS Cumul (h)]],0),0)</f>
        <v>0</v>
      </c>
      <c r="H29" s="4">
        <f>Octobre[[#This Row],[TPS Cumul (h)]]+Octobre[[#This Row],[Reste à passer (h) ]]</f>
        <v>0</v>
      </c>
      <c r="I29" s="4">
        <f>Octobre[[#This Row],[CR (h)]] - Octobre[[#This Row],[Charge Initiale (h)]]</f>
        <v>0</v>
      </c>
      <c r="J29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29" s="4">
        <f>IF(Octobre[[#This Row],[TPS Cumul (h)]]&gt;0,Octobre[[#This Row],[Charge Initiale (h)]]*Octobre[[#This Row],[Prix de revien unitaire(€)]],0)</f>
        <v>0</v>
      </c>
      <c r="L29" s="4">
        <f>Octobre[[#This Row],[CR (h)]]*Octobre[[#This Row],[Prix de revien unitaire(€)]]</f>
        <v>0</v>
      </c>
      <c r="M29" s="4">
        <f>Octobre[[#This Row],[Prix de revien unitaire(€)]]*Octobre[[#This Row],[TPS Cumul (h)]]</f>
        <v>0</v>
      </c>
      <c r="N29" s="3" t="s">
        <v>39</v>
      </c>
    </row>
    <row r="30" spans="1:14" x14ac:dyDescent="0.2">
      <c r="A30" s="34"/>
      <c r="B30" s="26" t="s">
        <v>64</v>
      </c>
      <c r="C30" t="s">
        <v>15</v>
      </c>
      <c r="D30" s="4">
        <v>0</v>
      </c>
      <c r="E30" s="4"/>
      <c r="F30" s="4">
        <f>Octobre[[#This Row],[TPS Période(h)]]</f>
        <v>0</v>
      </c>
      <c r="G30" s="4">
        <f>IF(N30="Non",MAX(Octobre[[#This Row],[Charge Initiale (h)]]-Octobre[[#This Row],[TPS Cumul (h)]],0),0)</f>
        <v>0</v>
      </c>
      <c r="H30" s="4">
        <f>Octobre[[#This Row],[TPS Cumul (h)]]+Octobre[[#This Row],[Reste à passer (h) ]]</f>
        <v>0</v>
      </c>
      <c r="I30" s="4">
        <f>Octobre[[#This Row],[CR (h)]] - Octobre[[#This Row],[Charge Initiale (h)]]</f>
        <v>0</v>
      </c>
      <c r="J30" s="4" t="str">
        <f>IF(Octobre[[#This Row],[Qui]]="Chef de projet","68",IF(Octobre[[#This Row],[Qui]]="Ingénieur Electronique","32",IF(Octobre[[#This Row],[Qui]]="Ingénieur qualité","36",IF(Octobre[[#This Row],[Qui]]="Ingénieur Développement",30,IF(Octobre[[#This Row],[Qui]]="Ingénieur Mécanique",34,"")))))</f>
        <v>68</v>
      </c>
      <c r="K30" s="4">
        <f>IF(Octobre[[#This Row],[TPS Cumul (h)]]&gt;0,Octobre[[#This Row],[Charge Initiale (h)]]*Octobre[[#This Row],[Prix de revien unitaire(€)]],0)</f>
        <v>0</v>
      </c>
      <c r="L30" s="4">
        <f>Octobre[[#This Row],[CR (h)]]*Octobre[[#This Row],[Prix de revien unitaire(€)]]</f>
        <v>0</v>
      </c>
      <c r="M30" s="4">
        <f>Octobre[[#This Row],[Prix de revien unitaire(€)]]*Octobre[[#This Row],[TPS Cumul (h)]]</f>
        <v>0</v>
      </c>
      <c r="N30" s="3" t="s">
        <v>39</v>
      </c>
    </row>
    <row r="31" spans="1:14" x14ac:dyDescent="0.2">
      <c r="B31" s="2" t="s">
        <v>17</v>
      </c>
      <c r="C31" s="2"/>
      <c r="D31" s="2">
        <f>SUBTOTAL(109,Octobre[Charge Initiale (h)])</f>
        <v>115</v>
      </c>
      <c r="E31" s="2">
        <f>SUBTOTAL(109,Octobre[TPS Période(h)])</f>
        <v>29</v>
      </c>
      <c r="F31" s="2">
        <f>SUBTOTAL(109,Octobre[TPS Cumul (h)])</f>
        <v>29</v>
      </c>
      <c r="G31" s="2">
        <f>SUBTOTAL(109,Octobre[Reste à passer (h) ])</f>
        <v>81</v>
      </c>
      <c r="H31" s="2">
        <f>SUBTOTAL(109,Octobre[CR (h)])</f>
        <v>110</v>
      </c>
      <c r="I31" s="2">
        <f>SUBTOTAL(109,Octobre[ Ecart de charge (h)])</f>
        <v>-5</v>
      </c>
      <c r="J31" s="2">
        <f>SUBTOTAL(109,Octobre[Prix de revien unitaire(€)])</f>
        <v>0</v>
      </c>
      <c r="K31" s="2">
        <f>SUBTOTAL(109,Octobre[Coût Initial (€)])</f>
        <v>2516</v>
      </c>
      <c r="L31" s="1">
        <f>SUBTOTAL(109,Octobre[Coût Révisé (€)])</f>
        <v>7480</v>
      </c>
      <c r="M31" s="2">
        <f>SUBTOTAL(109,Octobre[Coût Réel])</f>
        <v>1972</v>
      </c>
      <c r="N31" s="3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SUMIFS(Octobre[Charge Initiale (h)], Octobre[Qui], "Chef de Projet")</f>
        <v>115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115</v>
      </c>
      <c r="D37" s="5">
        <v>8160</v>
      </c>
    </row>
  </sheetData>
  <mergeCells count="8">
    <mergeCell ref="A28:A30"/>
    <mergeCell ref="A4:A9"/>
    <mergeCell ref="A2:A3"/>
    <mergeCell ref="A10:A13"/>
    <mergeCell ref="A14:A17"/>
    <mergeCell ref="A18:A21"/>
    <mergeCell ref="A22:A23"/>
    <mergeCell ref="A24:A25"/>
  </mergeCells>
  <conditionalFormatting sqref="C2:C30 E2:M30">
    <cfRule type="expression" dxfId="102" priority="48">
      <formula>$F2&gt;0</formula>
    </cfRule>
  </conditionalFormatting>
  <conditionalFormatting sqref="D2:D30">
    <cfRule type="expression" dxfId="101" priority="7">
      <formula>$F2&gt;0</formula>
    </cfRule>
  </conditionalFormatting>
  <dataValidations count="2">
    <dataValidation type="list" allowBlank="1" showInputMessage="1" showErrorMessage="1" sqref="C2:C30" xr:uid="{4233881E-340E-466B-B9C9-93E6B7C98E2C}">
      <formula1>$B$36:$B$36</formula1>
    </dataValidation>
    <dataValidation type="list" allowBlank="1" showInputMessage="1" showErrorMessage="1" sqref="N2:N30" xr:uid="{9508132C-B552-4702-8379-6AFD28EB0624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67A0-F951-4D34-A349-925DD9425BDD}">
  <dimension ref="A1:N37"/>
  <sheetViews>
    <sheetView zoomScale="92" zoomScaleNormal="70" workbookViewId="0">
      <selection activeCell="F37" sqref="F37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Novembre[[#This Row],[TPS Période(h)]]</f>
        <v>1</v>
      </c>
      <c r="G2" s="4">
        <f>IF(N2="Non",MAX(Novembre[[#This Row],[Charge Initiale (h)]]-Novembre[[#This Row],[TPS Cumul (h)]],0),0)</f>
        <v>0</v>
      </c>
      <c r="H2" s="4">
        <f>Novembre[[#This Row],[TPS Cumul (h)]]+Novembre[[#This Row],[Reste à passer (h) ]]</f>
        <v>1</v>
      </c>
      <c r="I2" s="4">
        <f>Novembre[[#This Row],[CR (h)]] - Novembre[[#This Row],[Charge Initiale (h)]]</f>
        <v>0</v>
      </c>
      <c r="J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" s="4">
        <f>IF(Novembre[[#This Row],[TPS Cumul (h)]]&gt;0,Novembre[[#This Row],[Charge Initiale (h)]]*Novembre[[#This Row],[Prix de revien unitaire(€)]],0)</f>
        <v>68</v>
      </c>
      <c r="L2" s="4">
        <f>Novembre[[#This Row],[CR (h)]]*Novembre[[#This Row],[Prix de revien unitaire(€)]]</f>
        <v>68</v>
      </c>
      <c r="M2" s="4">
        <f>Novembre[[#This Row],[Prix de revien unitaire(€)]]*Novembre[[#This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Novembre[[#This Row],[TPS Période(h)]]</f>
        <v>10</v>
      </c>
      <c r="G3" s="4">
        <f>IF(N3="Non",MAX(Novembre[[#This Row],[Charge Initiale (h)]]-Novembre[[#This Row],[TPS Cumul (h)]],0),0)</f>
        <v>0</v>
      </c>
      <c r="H3" s="4">
        <f>Novembre[[#This Row],[TPS Cumul (h)]]+Novembre[[#This Row],[Reste à passer (h) ]]</f>
        <v>10</v>
      </c>
      <c r="I3" s="4">
        <f>Novembre[[#This Row],[CR (h)]] - Novembre[[#This Row],[Charge Initiale (h)]]</f>
        <v>0</v>
      </c>
      <c r="J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" s="4">
        <f>IF(Novembre[[#This Row],[TPS Cumul (h)]]&gt;0,Novembre[[#This Row],[Charge Initiale (h)]]*Novembre[[#This Row],[Prix de revien unitaire(€)]],0)</f>
        <v>680</v>
      </c>
      <c r="L3" s="4">
        <f>Novembre[[#This Row],[CR (h)]]*Novembre[[#This Row],[Prix de revien unitaire(€)]]</f>
        <v>680</v>
      </c>
      <c r="M3" s="4">
        <f>Novembre[[#This Row],[Prix de revien unitaire(€)]]*Novembre[[#This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Novembre[[#This Row],[TPS Période(h)]]</f>
        <v>5</v>
      </c>
      <c r="G4" s="14">
        <f>IF(N4="Non",MAX(Novembre[[#This Row],[Charge Initiale (h)]]-Novembre[[#This Row],[TPS Cumul (h)]],0),0)</f>
        <v>0</v>
      </c>
      <c r="H4" s="14">
        <f>Novembre[[#This Row],[TPS Cumul (h)]]+Novembre[[#This Row],[Reste à passer (h) ]]</f>
        <v>5</v>
      </c>
      <c r="I4" s="14">
        <f>Novembre[[#This Row],[CR (h)]] - Novembre[[#This Row],[Charge Initiale (h)]]</f>
        <v>0</v>
      </c>
      <c r="J4" s="1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4" s="14">
        <f>IF(Novembre[[#This Row],[TPS Cumul (h)]]&gt;0,Novembre[[#This Row],[Charge Initiale (h)]]*Novembre[[#This Row],[Prix de revien unitaire(€)]],0)</f>
        <v>340</v>
      </c>
      <c r="L4" s="14">
        <f>Novembre[[#This Row],[CR (h)]]*Novembre[[#This Row],[Prix de revien unitaire(€)]]</f>
        <v>340</v>
      </c>
      <c r="M4" s="14">
        <f>Novembre[[#This Row],[Prix de revien unitaire(€)]]*Novembre[[#This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Novembre[[#This Row],[TPS Période(h)]]</f>
        <v>1</v>
      </c>
      <c r="G5" s="4">
        <f>IF(N5="Non",MAX(Novembre[[#This Row],[Charge Initiale (h)]]-Novembre[[#This Row],[TPS Cumul (h)]],0),0)</f>
        <v>0</v>
      </c>
      <c r="H5" s="4">
        <f>Novembre[[#This Row],[TPS Cumul (h)]]+Novembre[[#This Row],[Reste à passer (h) ]]</f>
        <v>1</v>
      </c>
      <c r="I5" s="4">
        <f>Novembre[[#This Row],[CR (h)]] - Novembre[[#This Row],[Charge Initiale (h)]]</f>
        <v>0</v>
      </c>
      <c r="J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5" s="4">
        <f>IF(Novembre[[#This Row],[TPS Cumul (h)]]&gt;0,Novembre[[#This Row],[Charge Initiale (h)]]*Novembre[[#This Row],[Prix de revien unitaire(€)]],0)</f>
        <v>68</v>
      </c>
      <c r="L5" s="4">
        <f>Novembre[[#This Row],[CR (h)]]*Novembre[[#This Row],[Prix de revien unitaire(€)]]</f>
        <v>68</v>
      </c>
      <c r="M5" s="4">
        <f>Novembre[[#This Row],[Prix de revien unitaire(€)]]*Novembre[[#This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Novembre[[#This Row],[TPS Période(h)]]</f>
        <v>2</v>
      </c>
      <c r="G6" s="4">
        <f>IF(N6="Non",MAX(Novembre[[#This Row],[Charge Initiale (h)]]-Novembre[[#This Row],[TPS Cumul (h)]],0),0)</f>
        <v>0</v>
      </c>
      <c r="H6" s="4">
        <f>Novembre[[#This Row],[TPS Cumul (h)]]+Novembre[[#This Row],[Reste à passer (h) ]]</f>
        <v>2</v>
      </c>
      <c r="I6" s="4">
        <f>Novembre[[#This Row],[CR (h)]] - Novembre[[#This Row],[Charge Initiale (h)]]</f>
        <v>0</v>
      </c>
      <c r="J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6" s="4">
        <f>IF(Novembre[[#This Row],[TPS Cumul (h)]]&gt;0,Novembre[[#This Row],[Charge Initiale (h)]]*Novembre[[#This Row],[Prix de revien unitaire(€)]],0)</f>
        <v>136</v>
      </c>
      <c r="L6" s="4">
        <f>Novembre[[#This Row],[CR (h)]]*Novembre[[#This Row],[Prix de revien unitaire(€)]]</f>
        <v>136</v>
      </c>
      <c r="M6" s="4">
        <f>Novembre[[#This Row],[Prix de revien unitaire(€)]]*Novembre[[#This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Novembre[[#This Row],[TPS Période(h)]]</f>
        <v>2</v>
      </c>
      <c r="G7" s="4">
        <f>IF(N7="Non",MAX(Novembre[[#This Row],[Charge Initiale (h)]]-Novembre[[#This Row],[TPS Cumul (h)]],0),0)</f>
        <v>0</v>
      </c>
      <c r="H7" s="4">
        <f>Novembre[[#This Row],[TPS Cumul (h)]]+Novembre[[#This Row],[Reste à passer (h) ]]</f>
        <v>2</v>
      </c>
      <c r="I7" s="4">
        <f>Novembre[[#This Row],[CR (h)]] - Novembre[[#This Row],[Charge Initiale (h)]]</f>
        <v>0</v>
      </c>
      <c r="J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7" s="4">
        <f>IF(Novembre[[#This Row],[TPS Cumul (h)]]&gt;0,Novembre[[#This Row],[Charge Initiale (h)]]*Novembre[[#This Row],[Prix de revien unitaire(€)]],0)</f>
        <v>136</v>
      </c>
      <c r="L7" s="4">
        <f>Novembre[[#This Row],[CR (h)]]*Novembre[[#This Row],[Prix de revien unitaire(€)]]</f>
        <v>136</v>
      </c>
      <c r="M7" s="4">
        <f>Novembre[[#This Row],[Prix de revien unitaire(€)]]*Novembre[[#This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Novembre[[#This Row],[TPS Période(h)]]</f>
        <v>2</v>
      </c>
      <c r="G8" s="4">
        <f>IF(N8="Non",MAX(Novembre[[#This Row],[Charge Initiale (h)]]-Novembre[[#This Row],[TPS Cumul (h)]],0),0)</f>
        <v>0</v>
      </c>
      <c r="H8" s="4">
        <f>Novembre[[#This Row],[TPS Cumul (h)]]+Novembre[[#This Row],[Reste à passer (h) ]]</f>
        <v>2</v>
      </c>
      <c r="I8" s="4">
        <f>Novembre[[#This Row],[CR (h)]] - Novembre[[#This Row],[Charge Initiale (h)]]</f>
        <v>0</v>
      </c>
      <c r="J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8" s="4">
        <f>IF(Novembre[[#This Row],[TPS Cumul (h)]]&gt;0,Novembre[[#This Row],[Charge Initiale (h)]]*Novembre[[#This Row],[Prix de revien unitaire(€)]],0)</f>
        <v>136</v>
      </c>
      <c r="L8" s="4">
        <f>Novembre[[#This Row],[CR (h)]]*Novembre[[#This Row],[Prix de revien unitaire(€)]]</f>
        <v>136</v>
      </c>
      <c r="M8" s="4">
        <f>Novembre[[#This Row],[Prix de revien unitaire(€)]]*Novembre[[#This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Novembre[[#This Row],[TPS Période(h)]]</f>
        <v>2</v>
      </c>
      <c r="G9" s="4">
        <f>IF(N9="Non",MAX(Novembre[[#This Row],[Charge Initiale (h)]]-Novembre[[#This Row],[TPS Cumul (h)]],0),0)</f>
        <v>0</v>
      </c>
      <c r="H9" s="4">
        <f>Novembre[[#This Row],[TPS Cumul (h)]]+Novembre[[#This Row],[Reste à passer (h) ]]</f>
        <v>2</v>
      </c>
      <c r="I9" s="4">
        <f>Novembre[[#This Row],[CR (h)]] - Novembre[[#This Row],[Charge Initiale (h)]]</f>
        <v>0</v>
      </c>
      <c r="J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9" s="4">
        <f>IF(Novembre[[#This Row],[TPS Cumul (h)]]&gt;0,Novembre[[#This Row],[Charge Initiale (h)]]*Novembre[[#This Row],[Prix de revien unitaire(€)]],0)</f>
        <v>136</v>
      </c>
      <c r="L9" s="4">
        <f>Novembre[[#This Row],[CR (h)]]*Novembre[[#This Row],[Prix de revien unitaire(€)]]</f>
        <v>136</v>
      </c>
      <c r="M9" s="4">
        <f>Novembre[[#This Row],[Prix de revien unitaire(€)]]*Novembre[[#This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Novembre[[#This Row],[TPS Période(h)]]</f>
        <v>6</v>
      </c>
      <c r="G10" s="4">
        <f>IF(N10="Non",MAX(Novembre[[#This Row],[Charge Initiale (h)]]-Novembre[[#This Row],[TPS Cumul (h)]],0),0)</f>
        <v>0</v>
      </c>
      <c r="H10" s="4">
        <f>Novembre[[#This Row],[TPS Cumul (h)]]+Novembre[[#This Row],[Reste à passer (h) ]]</f>
        <v>6</v>
      </c>
      <c r="I10" s="4">
        <f>Novembre[[#This Row],[CR (h)]] - Novembre[[#This Row],[Charge Initiale (h)]]</f>
        <v>2</v>
      </c>
      <c r="J1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0" s="4">
        <f>IF(Novembre[[#This Row],[TPS Cumul (h)]]&gt;0,Novembre[[#This Row],[Charge Initiale (h)]]*Novembre[[#This Row],[Prix de revien unitaire(€)]],0)</f>
        <v>272</v>
      </c>
      <c r="L10" s="4">
        <f>Novembre[[#This Row],[CR (h)]]*Novembre[[#This Row],[Prix de revien unitaire(€)]]</f>
        <v>408</v>
      </c>
      <c r="M10" s="4">
        <f>Novembre[[#This Row],[Prix de revien unitaire(€)]]*Novembre[[#This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Novembre[[#This Row],[TPS Période(h)]]</f>
        <v>3</v>
      </c>
      <c r="G11" s="4">
        <f>IF(N11="Non",MAX(Novembre[[#This Row],[Charge Initiale (h)]]-Novembre[[#This Row],[TPS Cumul (h)]],0),0)</f>
        <v>0</v>
      </c>
      <c r="H11" s="4">
        <f>Novembre[[#This Row],[TPS Cumul (h)]]+Novembre[[#This Row],[Reste à passer (h) ]]</f>
        <v>3</v>
      </c>
      <c r="I11" s="4">
        <f>Novembre[[#This Row],[CR (h)]] - Novembre[[#This Row],[Charge Initiale (h)]]</f>
        <v>-1</v>
      </c>
      <c r="J1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1" s="4">
        <f>IF(Novembre[[#This Row],[TPS Cumul (h)]]&gt;0,Novembre[[#This Row],[Charge Initiale (h)]]*Novembre[[#This Row],[Prix de revien unitaire(€)]],0)</f>
        <v>272</v>
      </c>
      <c r="L11" s="4">
        <f>Novembre[[#This Row],[CR (h)]]*Novembre[[#This Row],[Prix de revien unitaire(€)]]</f>
        <v>204</v>
      </c>
      <c r="M11" s="4">
        <f>Novembre[[#This Row],[Prix de revien unitaire(€)]]*Novembre[[#This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Novembre[[#This Row],[TPS Période(h)]]</f>
        <v>3</v>
      </c>
      <c r="G12" s="4">
        <f>IF(N12="Non",MAX(Novembre[[#This Row],[Charge Initiale (h)]]-Novembre[[#This Row],[TPS Cumul (h)]],0),0)</f>
        <v>0</v>
      </c>
      <c r="H12" s="4">
        <f>Novembre[[#This Row],[TPS Cumul (h)]]+Novembre[[#This Row],[Reste à passer (h) ]]</f>
        <v>3</v>
      </c>
      <c r="I12" s="4">
        <f>Novembre[[#This Row],[CR (h)]] - Novembre[[#This Row],[Charge Initiale (h)]]</f>
        <v>2</v>
      </c>
      <c r="J1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2" s="4">
        <f>IF(Novembre[[#This Row],[TPS Cumul (h)]]&gt;0,Novembre[[#This Row],[Charge Initiale (h)]]*Novembre[[#This Row],[Prix de revien unitaire(€)]],0)</f>
        <v>68</v>
      </c>
      <c r="L12" s="4">
        <f>Novembre[[#This Row],[CR (h)]]*Novembre[[#This Row],[Prix de revien unitaire(€)]]</f>
        <v>204</v>
      </c>
      <c r="M12" s="4">
        <f>Novembre[[#This Row],[Prix de revien unitaire(€)]]*Novembre[[#This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Novembre[[#This Row],[TPS Période(h)]]</f>
        <v>1</v>
      </c>
      <c r="G13" s="4">
        <f>IF(N13="Non",MAX(Novembre[[#This Row],[Charge Initiale (h)]]-Novembre[[#This Row],[TPS Cumul (h)]],0),0)</f>
        <v>0</v>
      </c>
      <c r="H13" s="4">
        <f>Novembre[[#This Row],[TPS Cumul (h)]]+Novembre[[#This Row],[Reste à passer (h) ]]</f>
        <v>1</v>
      </c>
      <c r="I13" s="4">
        <f>Novembre[[#This Row],[CR (h)]] - Novembre[[#This Row],[Charge Initiale (h)]]</f>
        <v>-1</v>
      </c>
      <c r="J1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3" s="4">
        <f>IF(Novembre[[#This Row],[TPS Cumul (h)]]&gt;0,Novembre[[#This Row],[Charge Initiale (h)]]*Novembre[[#This Row],[Prix de revien unitaire(€)]],0)</f>
        <v>136</v>
      </c>
      <c r="L13" s="4">
        <f>Novembre[[#This Row],[CR (h)]]*Novembre[[#This Row],[Prix de revien unitaire(€)]]</f>
        <v>68</v>
      </c>
      <c r="M13" s="4">
        <f>Novembre[[#This Row],[Prix de revien unitaire(€)]]*Novembre[[#This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Novembre[[#This Row],[TPS Période(h)]]</f>
        <v>6</v>
      </c>
      <c r="G14" s="4">
        <f>IF(N14="Non",MAX(Novembre[[#This Row],[Charge Initiale (h)]]-Novembre[[#This Row],[TPS Cumul (h)]],0),0)</f>
        <v>0</v>
      </c>
      <c r="H14" s="4">
        <f>Novembre[[#This Row],[TPS Cumul (h)]]+Novembre[[#This Row],[Reste à passer (h) ]]</f>
        <v>6</v>
      </c>
      <c r="I14" s="4">
        <f>Novembre[[#This Row],[CR (h)]] - Novembre[[#This Row],[Charge Initiale (h)]]</f>
        <v>-1</v>
      </c>
      <c r="J1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4" s="4">
        <f>IF(Novembre[[#This Row],[TPS Cumul (h)]]&gt;0,Novembre[[#This Row],[Charge Initiale (h)]]*Novembre[[#This Row],[Prix de revien unitaire(€)]],0)</f>
        <v>476</v>
      </c>
      <c r="L14" s="4">
        <f>Novembre[[#This Row],[CR (h)]]*Novembre[[#This Row],[Prix de revien unitaire(€)]]</f>
        <v>408</v>
      </c>
      <c r="M14" s="4">
        <f>Novembre[[#This Row],[Prix de revien unitaire(€)]]*Novembre[[#This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Novembre[[#This Row],[TPS Période(h)]]</f>
        <v>5</v>
      </c>
      <c r="G15" s="4">
        <f>IF(N15="Non",MAX(Novembre[[#This Row],[Charge Initiale (h)]]-Novembre[[#This Row],[TPS Cumul (h)]],0),0)</f>
        <v>0</v>
      </c>
      <c r="H15" s="4">
        <f>Novembre[[#This Row],[TPS Cumul (h)]]+Novembre[[#This Row],[Reste à passer (h) ]]</f>
        <v>5</v>
      </c>
      <c r="I15" s="4">
        <f>Novembre[[#This Row],[CR (h)]] - Novembre[[#This Row],[Charge Initiale (h)]]</f>
        <v>-2</v>
      </c>
      <c r="J1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5" s="4">
        <f>IF(Novembre[[#This Row],[TPS Cumul (h)]]&gt;0,Novembre[[#This Row],[Charge Initiale (h)]]*Novembre[[#This Row],[Prix de revien unitaire(€)]],0)</f>
        <v>476</v>
      </c>
      <c r="L15" s="4">
        <f>Novembre[[#This Row],[CR (h)]]*Novembre[[#This Row],[Prix de revien unitaire(€)]]</f>
        <v>340</v>
      </c>
      <c r="M15" s="4">
        <f>Novembre[[#This Row],[Prix de revien unitaire(€)]]*Novembre[[#This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Novembre[[#This Row],[TPS Période(h)]]</f>
        <v>4</v>
      </c>
      <c r="G16" s="18">
        <f>IF(N16="Non",MAX(Novembre[[#This Row],[Charge Initiale (h)]]-Novembre[[#This Row],[TPS Cumul (h)]],0),0)</f>
        <v>0</v>
      </c>
      <c r="H16" s="18">
        <f>Novembre[[#This Row],[TPS Cumul (h)]]+Novembre[[#This Row],[Reste à passer (h) ]]</f>
        <v>4</v>
      </c>
      <c r="I16" s="18">
        <f>Novembre[[#This Row],[CR (h)]] - Novembre[[#This Row],[Charge Initiale (h)]]</f>
        <v>0</v>
      </c>
      <c r="J16" s="18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6" s="4">
        <f>IF(Novembre[[#This Row],[TPS Cumul (h)]]&gt;0,Novembre[[#This Row],[Charge Initiale (h)]]*Novembre[[#This Row],[Prix de revien unitaire(€)]],0)</f>
        <v>272</v>
      </c>
      <c r="L16" s="18">
        <f>Novembre[[#This Row],[CR (h)]]*Novembre[[#This Row],[Prix de revien unitaire(€)]]</f>
        <v>272</v>
      </c>
      <c r="M16" s="18">
        <f>Novembre[[#This Row],[Prix de revien unitaire(€)]]*Novembre[[#This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Novembre[[#This Row],[TPS Période(h)]]</f>
        <v>2</v>
      </c>
      <c r="G17" s="4">
        <f>IF(N17="Non",MAX(Novembre[[#This Row],[Charge Initiale (h)]]-Novembre[[#This Row],[TPS Cumul (h)]],0),0)</f>
        <v>0</v>
      </c>
      <c r="H17" s="4">
        <f>Novembre[[#This Row],[TPS Cumul (h)]]+Novembre[[#This Row],[Reste à passer (h) ]]</f>
        <v>2</v>
      </c>
      <c r="I17" s="4">
        <f>Novembre[[#This Row],[CR (h)]] - Novembre[[#This Row],[Charge Initiale (h)]]</f>
        <v>-1</v>
      </c>
      <c r="J1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7" s="4">
        <f>IF(Novembre[[#This Row],[TPS Cumul (h)]]&gt;0,Novembre[[#This Row],[Charge Initiale (h)]]*Novembre[[#This Row],[Prix de revien unitaire(€)]],0)</f>
        <v>204</v>
      </c>
      <c r="L17" s="4">
        <f>Novembre[[#This Row],[CR (h)]]*Novembre[[#This Row],[Prix de revien unitaire(€)]]</f>
        <v>136</v>
      </c>
      <c r="M17" s="4">
        <f>Novembre[[#This Row],[Prix de revien unitaire(€)]]*Novembre[[#This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Novembre[[#This Row],[TPS Période(h)]]</f>
        <v>7</v>
      </c>
      <c r="G18" s="4">
        <f>IF(N18="Non",MAX(Novembre[[#This Row],[Charge Initiale (h)]]-Novembre[[#This Row],[TPS Cumul (h)]],0),0)</f>
        <v>5</v>
      </c>
      <c r="H18" s="4">
        <f>Novembre[[#This Row],[TPS Cumul (h)]]+Novembre[[#This Row],[Reste à passer (h) ]]</f>
        <v>12</v>
      </c>
      <c r="I18" s="4">
        <f>Novembre[[#This Row],[CR (h)]] - Novembre[[#This Row],[Charge Initiale (h)]]</f>
        <v>0</v>
      </c>
      <c r="J1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8" s="4">
        <f>IF(Novembre[[#This Row],[TPS Cumul (h)]]&gt;0,Novembre[[#This Row],[Charge Initiale (h)]]*Novembre[[#This Row],[Prix de revien unitaire(€)]],0)</f>
        <v>816</v>
      </c>
      <c r="L18" s="4">
        <f>Novembre[[#This Row],[CR (h)]]*Novembre[[#This Row],[Prix de revien unitaire(€)]]</f>
        <v>816</v>
      </c>
      <c r="M18" s="4">
        <f>Novembre[[#This Row],[Prix de revien unitaire(€)]]*Novembre[[#This Row],[TPS Cumul (h)]]</f>
        <v>476</v>
      </c>
      <c r="N18" s="1" t="s">
        <v>39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11</v>
      </c>
      <c r="F19" s="4">
        <f>Novembre[[#This Row],[TPS Période(h)]]</f>
        <v>11</v>
      </c>
      <c r="G19" s="4">
        <f>IF(N19="Non",MAX(Novembre[[#This Row],[Charge Initiale (h)]]-Novembre[[#This Row],[TPS Cumul (h)]],0),0)</f>
        <v>2</v>
      </c>
      <c r="H19" s="4">
        <f>Novembre[[#This Row],[TPS Cumul (h)]]+Novembre[[#This Row],[Reste à passer (h) ]]</f>
        <v>13</v>
      </c>
      <c r="I19" s="4">
        <f>Novembre[[#This Row],[CR (h)]] - Novembre[[#This Row],[Charge Initiale (h)]]</f>
        <v>0</v>
      </c>
      <c r="J1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9" s="4">
        <f>IF(Novembre[[#This Row],[TPS Cumul (h)]]&gt;0,Novembre[[#This Row],[Charge Initiale (h)]]*Novembre[[#This Row],[Prix de revien unitaire(€)]],0)</f>
        <v>884</v>
      </c>
      <c r="L19" s="4">
        <f>Novembre[[#This Row],[CR (h)]]*Novembre[[#This Row],[Prix de revien unitaire(€)]]</f>
        <v>884</v>
      </c>
      <c r="M19" s="4">
        <f>Novembre[[#This Row],[Prix de revien unitaire(€)]]*Novembre[[#This Row],[TPS Cumul (h)]]</f>
        <v>748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Novembre[[#This Row],[TPS Période(h)]]</f>
        <v>0</v>
      </c>
      <c r="G20" s="4">
        <f>IF(N20="Non",MAX(Novembre[[#This Row],[Charge Initiale (h)]]-Novembre[[#This Row],[TPS Cumul (h)]],0),0)</f>
        <v>3</v>
      </c>
      <c r="H20" s="4">
        <f>Novembre[[#This Row],[TPS Cumul (h)]]+Novembre[[#This Row],[Reste à passer (h) ]]</f>
        <v>3</v>
      </c>
      <c r="I20" s="4">
        <f>Novembre[[#This Row],[CR (h)]] - Novembre[[#This Row],[Charge Initiale (h)]]</f>
        <v>0</v>
      </c>
      <c r="J2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0" s="4">
        <f>IF(Novembre[[#This Row],[TPS Cumul (h)]]&gt;0,Novembre[[#This Row],[Charge Initiale (h)]]*Novembre[[#This Row],[Prix de revien unitaire(€)]],0)</f>
        <v>0</v>
      </c>
      <c r="L20" s="4">
        <f>Novembre[[#This Row],[CR (h)]]*Novembre[[#This Row],[Prix de revien unitaire(€)]]</f>
        <v>204</v>
      </c>
      <c r="M20" s="4">
        <f>Novembre[[#This Row],[Prix de revien unitaire(€)]]*Novembre[[#This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Novembre[[#This Row],[TPS Période(h)]]</f>
        <v>0</v>
      </c>
      <c r="G21" s="4">
        <f>IF(N21="Non",MAX(Novembre[[#This Row],[Charge Initiale (h)]]-Novembre[[#This Row],[TPS Cumul (h)]],0),0)</f>
        <v>7</v>
      </c>
      <c r="H21" s="4">
        <f>Novembre[[#This Row],[TPS Cumul (h)]]+Novembre[[#This Row],[Reste à passer (h) ]]</f>
        <v>7</v>
      </c>
      <c r="I21" s="4">
        <f>Novembre[[#This Row],[CR (h)]] - Novembre[[#This Row],[Charge Initiale (h)]]</f>
        <v>0</v>
      </c>
      <c r="J2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1" s="4">
        <f>IF(Novembre[[#This Row],[TPS Cumul (h)]]&gt;0,Novembre[[#This Row],[Charge Initiale (h)]]*Novembre[[#This Row],[Prix de revien unitaire(€)]],0)</f>
        <v>0</v>
      </c>
      <c r="L21" s="4">
        <f>Novembre[[#This Row],[CR (h)]]*Novembre[[#This Row],[Prix de revien unitaire(€)]]</f>
        <v>476</v>
      </c>
      <c r="M21" s="4">
        <f>Novembre[[#This Row],[Prix de revien unitaire(€)]]*Novembre[[#This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Novembre[[#This Row],[TPS Période(h)]]</f>
        <v>3</v>
      </c>
      <c r="G22" s="4">
        <f>IF(N22="Non",MAX(Novembre[[#This Row],[Charge Initiale (h)]]-Novembre[[#This Row],[TPS Cumul (h)]],0),0)</f>
        <v>4</v>
      </c>
      <c r="H22" s="4">
        <f>Novembre[[#This Row],[TPS Cumul (h)]]+Novembre[[#This Row],[Reste à passer (h) ]]</f>
        <v>7</v>
      </c>
      <c r="I22" s="4">
        <f>Novembre[[#This Row],[CR (h)]] - Novembre[[#This Row],[Charge Initiale (h)]]</f>
        <v>0</v>
      </c>
      <c r="J2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2" s="4">
        <f>IF(Novembre[[#This Row],[TPS Cumul (h)]]&gt;0,Novembre[[#This Row],[Charge Initiale (h)]]*Novembre[[#This Row],[Prix de revien unitaire(€)]],0)</f>
        <v>476</v>
      </c>
      <c r="L22" s="4">
        <f>Novembre[[#This Row],[CR (h)]]*Novembre[[#This Row],[Prix de revien unitaire(€)]]</f>
        <v>476</v>
      </c>
      <c r="M22" s="4">
        <f>Novembre[[#This Row],[Prix de revien unitaire(€)]]*Novembre[[#This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Novembre[[#This Row],[TPS Période(h)]]</f>
        <v>3</v>
      </c>
      <c r="G23" s="4">
        <f>IF(N23="Non",MAX(Novembre[[#This Row],[Charge Initiale (h)]]-Novembre[[#This Row],[TPS Cumul (h)]],0),0)</f>
        <v>0</v>
      </c>
      <c r="H23" s="4">
        <f>Novembre[[#This Row],[TPS Cumul (h)]]+Novembre[[#This Row],[Reste à passer (h) ]]</f>
        <v>3</v>
      </c>
      <c r="I23" s="4">
        <f>Novembre[[#This Row],[CR (h)]] - Novembre[[#This Row],[Charge Initiale (h)]]</f>
        <v>1</v>
      </c>
      <c r="J2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3" s="4">
        <f>IF(Novembre[[#This Row],[TPS Cumul (h)]]&gt;0,Novembre[[#This Row],[Charge Initiale (h)]]*Novembre[[#This Row],[Prix de revien unitaire(€)]],0)</f>
        <v>136</v>
      </c>
      <c r="L23" s="4">
        <f>Novembre[[#This Row],[CR (h)]]*Novembre[[#This Row],[Prix de revien unitaire(€)]]</f>
        <v>204</v>
      </c>
      <c r="M23" s="4">
        <f>Novembre[[#This Row],[Prix de revien unitaire(€)]]*Novembre[[#This Row],[TPS Cumul (h)]]</f>
        <v>204</v>
      </c>
      <c r="N23" s="1" t="s">
        <v>39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/>
      <c r="F24" s="4">
        <f>Novembre[[#This Row],[TPS Période(h)]]</f>
        <v>0</v>
      </c>
      <c r="G24" s="4">
        <f>IF(N24="Non",MAX(Novembre[[#This Row],[Charge Initiale (h)]]-Novembre[[#This Row],[TPS Cumul (h)]],0),0)</f>
        <v>2</v>
      </c>
      <c r="H24" s="4">
        <f>Novembre[[#This Row],[TPS Cumul (h)]]+Novembre[[#This Row],[Reste à passer (h) ]]</f>
        <v>2</v>
      </c>
      <c r="I24" s="4">
        <f>Novembre[[#This Row],[CR (h)]] - Novembre[[#This Row],[Charge Initiale (h)]]</f>
        <v>0</v>
      </c>
      <c r="J2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4" s="4">
        <f>IF(Novembre[[#This Row],[TPS Cumul (h)]]&gt;0,Novembre[[#This Row],[Charge Initiale (h)]]*Novembre[[#This Row],[Prix de revien unitaire(€)]],0)</f>
        <v>0</v>
      </c>
      <c r="L24" s="4">
        <f>Novembre[[#This Row],[CR (h)]]*Novembre[[#This Row],[Prix de revien unitaire(€)]]</f>
        <v>136</v>
      </c>
      <c r="M24" s="4">
        <f>Novembre[[#This Row],[Prix de revien unitaire(€)]]*Novembre[[#This Row],[TPS Cumul (h)]]</f>
        <v>0</v>
      </c>
      <c r="N24" s="1" t="s">
        <v>39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Novembre[[#This Row],[TPS Période(h)]]</f>
        <v>0</v>
      </c>
      <c r="G25" s="4">
        <f>IF(N25="Non",MAX(Novembre[[#This Row],[Charge Initiale (h)]]-Novembre[[#This Row],[TPS Cumul (h)]],0),0)</f>
        <v>2</v>
      </c>
      <c r="H25" s="4">
        <f>Novembre[[#This Row],[TPS Cumul (h)]]+Novembre[[#This Row],[Reste à passer (h) ]]</f>
        <v>2</v>
      </c>
      <c r="I25" s="4">
        <f>Novembre[[#This Row],[CR (h)]] - Novembre[[#This Row],[Charge Initiale (h)]]</f>
        <v>0</v>
      </c>
      <c r="J2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5" s="4">
        <f>IF(Novembre[[#This Row],[TPS Cumul (h)]]&gt;0,Novembre[[#This Row],[Charge Initiale (h)]]*Novembre[[#This Row],[Prix de revien unitaire(€)]],0)</f>
        <v>0</v>
      </c>
      <c r="L25" s="4">
        <f>Novembre[[#This Row],[CR (h)]]*Novembre[[#This Row],[Prix de revien unitaire(€)]]</f>
        <v>136</v>
      </c>
      <c r="M25" s="4">
        <f>Novembre[[#This Row],[Prix de revien unitaire(€)]]*Novembre[[#This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Novembre[[#This Row],[TPS Période(h)]]</f>
        <v>0</v>
      </c>
      <c r="G26" s="4">
        <f>IF(N26="Non",MAX(Novembre[[#This Row],[Charge Initiale (h)]]-Novembre[[#This Row],[TPS Cumul (h)]],0),0)</f>
        <v>10</v>
      </c>
      <c r="H26" s="4">
        <f>Novembre[[#This Row],[TPS Cumul (h)]]+Novembre[[#This Row],[Reste à passer (h) ]]</f>
        <v>10</v>
      </c>
      <c r="I26" s="4">
        <f>Novembre[[#This Row],[CR (h)]] - Novembre[[#This Row],[Charge Initiale (h)]]</f>
        <v>0</v>
      </c>
      <c r="J2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6" s="4">
        <f>IF(Novembre[[#This Row],[TPS Cumul (h)]]&gt;0,Novembre[[#This Row],[Charge Initiale (h)]]*Novembre[[#This Row],[Prix de revien unitaire(€)]],0)</f>
        <v>0</v>
      </c>
      <c r="L26" s="4">
        <f>Novembre[[#This Row],[CR (h)]]*Novembre[[#This Row],[Prix de revien unitaire(€)]]</f>
        <v>680</v>
      </c>
      <c r="M26" s="4">
        <f>Novembre[[#This Row],[Prix de revien unitaire(€)]]*Novembre[[#This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Novembre[[#This Row],[TPS Période(h)]]</f>
        <v>0</v>
      </c>
      <c r="G27" s="4">
        <f>IF(N27="Non",MAX(Novembre[[#This Row],[Charge Initiale (h)]]-Novembre[[#This Row],[TPS Cumul (h)]],0),0)</f>
        <v>2</v>
      </c>
      <c r="H27" s="4">
        <f>Novembre[[#This Row],[TPS Cumul (h)]]+Novembre[[#This Row],[Reste à passer (h) ]]</f>
        <v>2</v>
      </c>
      <c r="I27" s="4">
        <f>Novembre[[#This Row],[CR (h)]] - Novembre[[#This Row],[Charge Initiale (h)]]</f>
        <v>0</v>
      </c>
      <c r="J2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7" s="4">
        <f>IF(Novembre[[#This Row],[TPS Cumul (h)]]&gt;0,Novembre[[#This Row],[Charge Initiale (h)]]*Novembre[[#This Row],[Prix de revien unitaire(€)]],0)</f>
        <v>0</v>
      </c>
      <c r="L27" s="4">
        <f>Novembre[[#This Row],[CR (h)]]*Novembre[[#This Row],[Prix de revien unitaire(€)]]</f>
        <v>136</v>
      </c>
      <c r="M27" s="4">
        <f>Novembre[[#This Row],[Prix de revien unitaire(€)]]*Novembre[[#This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Novembre[[#This Row],[TPS Période(h)]]</f>
        <v>0</v>
      </c>
      <c r="G28" s="4">
        <f>IF(N28="Non",MAX(Novembre[[#This Row],[Charge Initiale (h)]]-Novembre[[#This Row],[TPS Cumul (h)]],0),0)</f>
        <v>3</v>
      </c>
      <c r="H28" s="4">
        <f>Novembre[[#This Row],[TPS Cumul (h)]]+Novembre[[#This Row],[Reste à passer (h) ]]</f>
        <v>3</v>
      </c>
      <c r="I28" s="4">
        <f>Novembre[[#This Row],[CR (h)]] - Novembre[[#This Row],[Charge Initiale (h)]]</f>
        <v>0</v>
      </c>
      <c r="J2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8" s="4">
        <f>IF(Novembre[[#This Row],[TPS Cumul (h)]]&gt;0,Novembre[[#This Row],[Charge Initiale (h)]]*Novembre[[#This Row],[Prix de revien unitaire(€)]],0)</f>
        <v>0</v>
      </c>
      <c r="L28" s="4">
        <f>Novembre[[#This Row],[CR (h)]]*Novembre[[#This Row],[Prix de revien unitaire(€)]]</f>
        <v>204</v>
      </c>
      <c r="M28" s="4">
        <f>Novembre[[#This Row],[Prix de revien unitaire(€)]]*Novembre[[#This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Novembre[[#This Row],[TPS Période(h)]]</f>
        <v>0</v>
      </c>
      <c r="G29" s="4">
        <f>IF(N29="Non",MAX(Novembre[[#This Row],[Charge Initiale (h)]]-Novembre[[#This Row],[TPS Cumul (h)]],0),0)</f>
        <v>0</v>
      </c>
      <c r="H29" s="4">
        <f>Novembre[[#This Row],[TPS Cumul (h)]]+Novembre[[#This Row],[Reste à passer (h) ]]</f>
        <v>0</v>
      </c>
      <c r="I29" s="4">
        <f>Novembre[[#This Row],[CR (h)]] - Novembre[[#This Row],[Charge Initiale (h)]]</f>
        <v>0</v>
      </c>
      <c r="J2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9" s="4">
        <f>IF(Novembre[[#This Row],[TPS Cumul (h)]]&gt;0,Novembre[[#This Row],[Charge Initiale (h)]]*Novembre[[#This Row],[Prix de revien unitaire(€)]],0)</f>
        <v>0</v>
      </c>
      <c r="L29" s="4">
        <f>Novembre[[#This Row],[CR (h)]]*Novembre[[#This Row],[Prix de revien unitaire(€)]]</f>
        <v>0</v>
      </c>
      <c r="M29" s="4">
        <f>Novembre[[#This Row],[Prix de revien unitaire(€)]]*Novembre[[#This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Novembre[[#This Row],[TPS Période(h)]]</f>
        <v>0</v>
      </c>
      <c r="G30" s="4">
        <f>IF(N30="Non",MAX(Novembre[[#This Row],[Charge Initiale (h)]]-Novembre[[#This Row],[TPS Cumul (h)]],0),0)</f>
        <v>0</v>
      </c>
      <c r="H30" s="4">
        <f>Novembre[[#This Row],[TPS Cumul (h)]]+Novembre[[#This Row],[Reste à passer (h) ]]</f>
        <v>0</v>
      </c>
      <c r="I30" s="4">
        <f>Novembre[[#This Row],[CR (h)]] - Novembre[[#This Row],[Charge Initiale (h)]]</f>
        <v>0</v>
      </c>
      <c r="J3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0" s="4">
        <f>IF(Novembre[[#This Row],[TPS Cumul (h)]]&gt;0,Novembre[[#This Row],[Charge Initiale (h)]]*Novembre[[#This Row],[Prix de revien unitaire(€)]],0)</f>
        <v>0</v>
      </c>
      <c r="L30" s="4">
        <f>Novembre[[#This Row],[CR (h)]]*Novembre[[#This Row],[Prix de revien unitaire(€)]]</f>
        <v>0</v>
      </c>
      <c r="M30" s="4">
        <f>Novembre[[#This Row],[Prix de revien unitaire(€)]]*Novembre[[#This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SUBTOTAL(109,Novembre[Charge Initiale (h)])</f>
        <v>120</v>
      </c>
      <c r="E31" s="2">
        <f>SUBTOTAL(109,Novembre[TPS Période(h)])</f>
        <v>79</v>
      </c>
      <c r="F31" s="2">
        <f>SUBTOTAL(109,Novembre[TPS Cumul (h)])</f>
        <v>79</v>
      </c>
      <c r="G31" s="2">
        <f>SUBTOTAL(109,Novembre[Reste à passer (h) ])</f>
        <v>40</v>
      </c>
      <c r="H31" s="2">
        <f>SUBTOTAL(109,Novembre[CR (h)])</f>
        <v>119</v>
      </c>
      <c r="I31" s="2">
        <f>SUBTOTAL(109,Novembre[ Ecart de charge (h)])</f>
        <v>-1</v>
      </c>
      <c r="J31" s="2">
        <f>SUBTOTAL(109,Novembre[Prix de revien unitaire(€)])</f>
        <v>0</v>
      </c>
      <c r="K31" s="2">
        <f>SUBTOTAL(109,Novembre[Coût Initial (€)])</f>
        <v>6188</v>
      </c>
      <c r="L31" s="1">
        <f>SUBTOTAL(109,Novembre[Coût Révisé (€)])</f>
        <v>8092</v>
      </c>
      <c r="M31" s="2">
        <f>SUBTOTAL(109,Novembre[Coût Réel])</f>
        <v>5372</v>
      </c>
      <c r="N31" s="2"/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5" spans="2:14" x14ac:dyDescent="0.2">
      <c r="B35" s="7" t="s">
        <v>19</v>
      </c>
      <c r="C35" s="7" t="s">
        <v>36</v>
      </c>
      <c r="D35" s="7" t="s">
        <v>22</v>
      </c>
      <c r="N35" s="5" t="s">
        <v>37</v>
      </c>
    </row>
    <row r="36" spans="2:14" x14ac:dyDescent="0.2">
      <c r="B36" s="5" t="s">
        <v>20</v>
      </c>
      <c r="C36" s="5">
        <f>SUMIFS(Novembre[Charge Initiale (h)], Novembre[Qui], "Chef de Projet")</f>
        <v>120</v>
      </c>
      <c r="D36" s="5">
        <v>68</v>
      </c>
      <c r="N36" s="5" t="s">
        <v>38</v>
      </c>
    </row>
    <row r="37" spans="2:14" x14ac:dyDescent="0.2">
      <c r="B37" s="5" t="s">
        <v>17</v>
      </c>
      <c r="C37" s="5">
        <f>SUM(C36:C36)</f>
        <v>120</v>
      </c>
      <c r="D37" s="5">
        <v>8160</v>
      </c>
    </row>
  </sheetData>
  <mergeCells count="8">
    <mergeCell ref="A28:A30"/>
    <mergeCell ref="A4:A9"/>
    <mergeCell ref="A2:A3"/>
    <mergeCell ref="A10:A13"/>
    <mergeCell ref="A14:A17"/>
    <mergeCell ref="A18:A21"/>
    <mergeCell ref="A22:A23"/>
    <mergeCell ref="A24:A25"/>
  </mergeCells>
  <conditionalFormatting sqref="B2:B3 D2:D30">
    <cfRule type="expression" dxfId="100" priority="8">
      <formula>$F2&gt;0</formula>
    </cfRule>
  </conditionalFormatting>
  <conditionalFormatting sqref="B4:B9">
    <cfRule type="expression" dxfId="99" priority="11">
      <formula>#REF!&gt;0</formula>
    </cfRule>
  </conditionalFormatting>
  <conditionalFormatting sqref="B6">
    <cfRule type="expression" dxfId="98" priority="12">
      <formula>$F4&gt;0</formula>
    </cfRule>
  </conditionalFormatting>
  <conditionalFormatting sqref="B7:B8">
    <cfRule type="expression" dxfId="97" priority="21">
      <formula>$F12&gt;0</formula>
    </cfRule>
  </conditionalFormatting>
  <conditionalFormatting sqref="B9">
    <cfRule type="expression" dxfId="96" priority="20">
      <formula>$F13&gt;0</formula>
    </cfRule>
  </conditionalFormatting>
  <conditionalFormatting sqref="B11">
    <cfRule type="expression" dxfId="95" priority="15">
      <formula>#REF!&gt;0</formula>
    </cfRule>
  </conditionalFormatting>
  <conditionalFormatting sqref="B12:B13">
    <cfRule type="expression" dxfId="94" priority="14">
      <formula>$F15&gt;0</formula>
    </cfRule>
  </conditionalFormatting>
  <conditionalFormatting sqref="B14:B18">
    <cfRule type="expression" dxfId="93" priority="9">
      <formula>#REF!&gt;0</formula>
    </cfRule>
  </conditionalFormatting>
  <conditionalFormatting sqref="B20:B28">
    <cfRule type="expression" dxfId="92" priority="4">
      <formula>#REF!&gt;0</formula>
    </cfRule>
  </conditionalFormatting>
  <conditionalFormatting sqref="B21 B23:B26 B28 C2:C30 F2:M30">
    <cfRule type="expression" dxfId="91" priority="16">
      <formula>$N2="Oui"</formula>
    </cfRule>
  </conditionalFormatting>
  <conditionalFormatting sqref="B21">
    <cfRule type="expression" dxfId="90" priority="18">
      <formula>$N18="Oui"</formula>
    </cfRule>
    <cfRule type="expression" dxfId="89" priority="19">
      <formula>$F18&gt;0</formula>
    </cfRule>
  </conditionalFormatting>
  <conditionalFormatting sqref="B24:B28">
    <cfRule type="expression" dxfId="88" priority="24">
      <formula>#REF!="Oui"</formula>
    </cfRule>
    <cfRule type="expression" dxfId="87" priority="25">
      <formula>#REF!&gt;0</formula>
    </cfRule>
  </conditionalFormatting>
  <conditionalFormatting sqref="B27">
    <cfRule type="expression" dxfId="86" priority="22">
      <formula>#REF!="Oui"</formula>
    </cfRule>
    <cfRule type="expression" dxfId="85" priority="23">
      <formula>#REF!&gt;0</formula>
    </cfRule>
    <cfRule type="expression" dxfId="84" priority="30">
      <formula>$N29="Oui"</formula>
    </cfRule>
    <cfRule type="expression" dxfId="83" priority="31">
      <formula>$F29&gt;0</formula>
    </cfRule>
    <cfRule type="expression" dxfId="82" priority="32">
      <formula>#REF!="Oui"</formula>
    </cfRule>
    <cfRule type="expression" dxfId="81" priority="33">
      <formula>#REF!&gt;0</formula>
    </cfRule>
  </conditionalFormatting>
  <conditionalFormatting sqref="C2:C30 F2:M30 B21 B23:B26 B28">
    <cfRule type="expression" dxfId="80" priority="17">
      <formula>$F2&gt;0</formula>
    </cfRule>
  </conditionalFormatting>
  <conditionalFormatting sqref="E2:E30">
    <cfRule type="expression" dxfId="79" priority="1">
      <formula>$F2&gt;0</formula>
    </cfRule>
  </conditionalFormatting>
  <dataValidations count="2">
    <dataValidation type="list" allowBlank="1" showInputMessage="1" showErrorMessage="1" sqref="C2:C30" xr:uid="{504CBCD0-0DDC-437A-BA1C-3E3B69C35F51}">
      <formula1>$B$36:$B$36</formula1>
    </dataValidation>
    <dataValidation type="list" allowBlank="1" showInputMessage="1" showErrorMessage="1" sqref="N2:N30" xr:uid="{42ED9636-9302-44FC-B526-CA5281F0BC67}">
      <formula1>$N$36:$N$36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E3C-F697-4030-BD76-DE5CA995FB1A}">
  <dimension ref="A1:N38"/>
  <sheetViews>
    <sheetView tabSelected="1" zoomScale="76" zoomScaleNormal="70" workbookViewId="0">
      <selection activeCell="E17" sqref="E17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Novembre4[[#This Row],[TPS Période(h)]]</f>
        <v>1</v>
      </c>
      <c r="G2" s="4">
        <f>IF(N2="Non",MAX(Novembre4[[#This Row],[Charge Initiale (h)]]-Novembre4[[#This Row],[TPS Cumul (h)]],0),0)</f>
        <v>0</v>
      </c>
      <c r="H2" s="4">
        <f>Novembre4[[#This Row],[TPS Cumul (h)]]+Novembre4[[#This Row],[Reste à passer (h) ]]</f>
        <v>1</v>
      </c>
      <c r="I2" s="4">
        <f>Novembre4[[#This Row],[CR (h)]] - Novembre4[[#This Row],[Charge Initiale (h)]]</f>
        <v>0</v>
      </c>
      <c r="J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" s="4">
        <f>IF(Novembre4[[#This Row],[TPS Cumul (h)]]&gt;0,Novembre4[[#This Row],[Charge Initiale (h)]]*Novembre4[[#This Row],[Prix de revien unitaire(€)]],0)</f>
        <v>68</v>
      </c>
      <c r="L2" s="4">
        <f>Novembre4[[#This Row],[CR (h)]]*Novembre4[[#This Row],[Prix de revien unitaire(€)]]</f>
        <v>68</v>
      </c>
      <c r="M2" s="4">
        <f>Novembre4[[#This Row],[Prix de revien unitaire(€)]]*Novembre4[[#This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Novembre4[[#This Row],[TPS Période(h)]]</f>
        <v>10</v>
      </c>
      <c r="G3" s="4">
        <f>IF(N3="Non",MAX(Novembre4[[#This Row],[Charge Initiale (h)]]-Novembre4[[#This Row],[TPS Cumul (h)]],0),0)</f>
        <v>0</v>
      </c>
      <c r="H3" s="4">
        <f>Novembre4[[#This Row],[TPS Cumul (h)]]+Novembre4[[#This Row],[Reste à passer (h) ]]</f>
        <v>10</v>
      </c>
      <c r="I3" s="4">
        <f>Novembre4[[#This Row],[CR (h)]] - Novembre4[[#This Row],[Charge Initiale (h)]]</f>
        <v>0</v>
      </c>
      <c r="J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3" s="4">
        <f>IF(Novembre4[[#This Row],[TPS Cumul (h)]]&gt;0,Novembre4[[#This Row],[Charge Initiale (h)]]*Novembre4[[#This Row],[Prix de revien unitaire(€)]],0)</f>
        <v>680</v>
      </c>
      <c r="L3" s="4">
        <f>Novembre4[[#This Row],[CR (h)]]*Novembre4[[#This Row],[Prix de revien unitaire(€)]]</f>
        <v>680</v>
      </c>
      <c r="M3" s="4">
        <f>Novembre4[[#This Row],[Prix de revien unitaire(€)]]*Novembre4[[#This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Novembre4[[#This Row],[TPS Période(h)]]</f>
        <v>5</v>
      </c>
      <c r="G4" s="14">
        <f>IF(N4="Non",MAX(Novembre4[[#This Row],[Charge Initiale (h)]]-Novembre4[[#This Row],[TPS Cumul (h)]],0),0)</f>
        <v>0</v>
      </c>
      <c r="H4" s="14">
        <f>Novembre4[[#This Row],[TPS Cumul (h)]]+Novembre4[[#This Row],[Reste à passer (h) ]]</f>
        <v>5</v>
      </c>
      <c r="I4" s="14">
        <f>Novembre4[[#This Row],[CR (h)]] - Novembre4[[#This Row],[Charge Initiale (h)]]</f>
        <v>0</v>
      </c>
      <c r="J4" s="1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4" s="14">
        <f>IF(Novembre4[[#This Row],[TPS Cumul (h)]]&gt;0,Novembre4[[#This Row],[Charge Initiale (h)]]*Novembre4[[#This Row],[Prix de revien unitaire(€)]],0)</f>
        <v>340</v>
      </c>
      <c r="L4" s="14">
        <f>Novembre4[[#This Row],[CR (h)]]*Novembre4[[#This Row],[Prix de revien unitaire(€)]]</f>
        <v>340</v>
      </c>
      <c r="M4" s="14">
        <f>Novembre4[[#This Row],[Prix de revien unitaire(€)]]*Novembre4[[#This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Novembre4[[#This Row],[TPS Période(h)]]</f>
        <v>1</v>
      </c>
      <c r="G5" s="4">
        <f>IF(N5="Non",MAX(Novembre4[[#This Row],[Charge Initiale (h)]]-Novembre4[[#This Row],[TPS Cumul (h)]],0),0)</f>
        <v>0</v>
      </c>
      <c r="H5" s="4">
        <f>Novembre4[[#This Row],[TPS Cumul (h)]]+Novembre4[[#This Row],[Reste à passer (h) ]]</f>
        <v>1</v>
      </c>
      <c r="I5" s="4">
        <f>Novembre4[[#This Row],[CR (h)]] - Novembre4[[#This Row],[Charge Initiale (h)]]</f>
        <v>0</v>
      </c>
      <c r="J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5" s="4">
        <f>IF(Novembre4[[#This Row],[TPS Cumul (h)]]&gt;0,Novembre4[[#This Row],[Charge Initiale (h)]]*Novembre4[[#This Row],[Prix de revien unitaire(€)]],0)</f>
        <v>68</v>
      </c>
      <c r="L5" s="4">
        <f>Novembre4[[#This Row],[CR (h)]]*Novembre4[[#This Row],[Prix de revien unitaire(€)]]</f>
        <v>68</v>
      </c>
      <c r="M5" s="4">
        <f>Novembre4[[#This Row],[Prix de revien unitaire(€)]]*Novembre4[[#This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Novembre4[[#This Row],[TPS Période(h)]]</f>
        <v>2</v>
      </c>
      <c r="G6" s="4">
        <f>IF(N6="Non",MAX(Novembre4[[#This Row],[Charge Initiale (h)]]-Novembre4[[#This Row],[TPS Cumul (h)]],0),0)</f>
        <v>0</v>
      </c>
      <c r="H6" s="4">
        <f>Novembre4[[#This Row],[TPS Cumul (h)]]+Novembre4[[#This Row],[Reste à passer (h) ]]</f>
        <v>2</v>
      </c>
      <c r="I6" s="4">
        <f>Novembre4[[#This Row],[CR (h)]] - Novembre4[[#This Row],[Charge Initiale (h)]]</f>
        <v>0</v>
      </c>
      <c r="J6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6" s="4">
        <f>IF(Novembre4[[#This Row],[TPS Cumul (h)]]&gt;0,Novembre4[[#This Row],[Charge Initiale (h)]]*Novembre4[[#This Row],[Prix de revien unitaire(€)]],0)</f>
        <v>136</v>
      </c>
      <c r="L6" s="4">
        <f>Novembre4[[#This Row],[CR (h)]]*Novembre4[[#This Row],[Prix de revien unitaire(€)]]</f>
        <v>136</v>
      </c>
      <c r="M6" s="4">
        <f>Novembre4[[#This Row],[Prix de revien unitaire(€)]]*Novembre4[[#This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Novembre4[[#This Row],[TPS Période(h)]]</f>
        <v>2</v>
      </c>
      <c r="G7" s="4">
        <f>IF(N7="Non",MAX(Novembre4[[#This Row],[Charge Initiale (h)]]-Novembre4[[#This Row],[TPS Cumul (h)]],0),0)</f>
        <v>0</v>
      </c>
      <c r="H7" s="4">
        <f>Novembre4[[#This Row],[TPS Cumul (h)]]+Novembre4[[#This Row],[Reste à passer (h) ]]</f>
        <v>2</v>
      </c>
      <c r="I7" s="4">
        <f>Novembre4[[#This Row],[CR (h)]] - Novembre4[[#This Row],[Charge Initiale (h)]]</f>
        <v>0</v>
      </c>
      <c r="J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7" s="4">
        <f>IF(Novembre4[[#This Row],[TPS Cumul (h)]]&gt;0,Novembre4[[#This Row],[Charge Initiale (h)]]*Novembre4[[#This Row],[Prix de revien unitaire(€)]],0)</f>
        <v>136</v>
      </c>
      <c r="L7" s="4">
        <f>Novembre4[[#This Row],[CR (h)]]*Novembre4[[#This Row],[Prix de revien unitaire(€)]]</f>
        <v>136</v>
      </c>
      <c r="M7" s="4">
        <f>Novembre4[[#This Row],[Prix de revien unitaire(€)]]*Novembre4[[#This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Novembre4[[#This Row],[TPS Période(h)]]</f>
        <v>2</v>
      </c>
      <c r="G8" s="4">
        <f>IF(N8="Non",MAX(Novembre4[[#This Row],[Charge Initiale (h)]]-Novembre4[[#This Row],[TPS Cumul (h)]],0),0)</f>
        <v>0</v>
      </c>
      <c r="H8" s="4">
        <f>Novembre4[[#This Row],[TPS Cumul (h)]]+Novembre4[[#This Row],[Reste à passer (h) ]]</f>
        <v>2</v>
      </c>
      <c r="I8" s="4">
        <f>Novembre4[[#This Row],[CR (h)]] - Novembre4[[#This Row],[Charge Initiale (h)]]</f>
        <v>0</v>
      </c>
      <c r="J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8" s="4">
        <f>IF(Novembre4[[#This Row],[TPS Cumul (h)]]&gt;0,Novembre4[[#This Row],[Charge Initiale (h)]]*Novembre4[[#This Row],[Prix de revien unitaire(€)]],0)</f>
        <v>136</v>
      </c>
      <c r="L8" s="4">
        <f>Novembre4[[#This Row],[CR (h)]]*Novembre4[[#This Row],[Prix de revien unitaire(€)]]</f>
        <v>136</v>
      </c>
      <c r="M8" s="4">
        <f>Novembre4[[#This Row],[Prix de revien unitaire(€)]]*Novembre4[[#This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Novembre4[[#This Row],[TPS Période(h)]]</f>
        <v>2</v>
      </c>
      <c r="G9" s="4">
        <f>IF(N9="Non",MAX(Novembre4[[#This Row],[Charge Initiale (h)]]-Novembre4[[#This Row],[TPS Cumul (h)]],0),0)</f>
        <v>0</v>
      </c>
      <c r="H9" s="4">
        <f>Novembre4[[#This Row],[TPS Cumul (h)]]+Novembre4[[#This Row],[Reste à passer (h) ]]</f>
        <v>2</v>
      </c>
      <c r="I9" s="4">
        <f>Novembre4[[#This Row],[CR (h)]] - Novembre4[[#This Row],[Charge Initiale (h)]]</f>
        <v>0</v>
      </c>
      <c r="J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9" s="4">
        <f>IF(Novembre4[[#This Row],[TPS Cumul (h)]]&gt;0,Novembre4[[#This Row],[Charge Initiale (h)]]*Novembre4[[#This Row],[Prix de revien unitaire(€)]],0)</f>
        <v>136</v>
      </c>
      <c r="L9" s="4">
        <f>Novembre4[[#This Row],[CR (h)]]*Novembre4[[#This Row],[Prix de revien unitaire(€)]]</f>
        <v>136</v>
      </c>
      <c r="M9" s="4">
        <f>Novembre4[[#This Row],[Prix de revien unitaire(€)]]*Novembre4[[#This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Novembre4[[#This Row],[TPS Période(h)]]</f>
        <v>6</v>
      </c>
      <c r="G10" s="4">
        <f>IF(N10="Non",MAX(Novembre4[[#This Row],[Charge Initiale (h)]]-Novembre4[[#This Row],[TPS Cumul (h)]],0),0)</f>
        <v>0</v>
      </c>
      <c r="H10" s="4">
        <f>Novembre4[[#This Row],[TPS Cumul (h)]]+Novembre4[[#This Row],[Reste à passer (h) ]]</f>
        <v>6</v>
      </c>
      <c r="I10" s="4">
        <f>Novembre4[[#This Row],[CR (h)]] - Novembre4[[#This Row],[Charge Initiale (h)]]</f>
        <v>2</v>
      </c>
      <c r="J1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0" s="4">
        <f>IF(Novembre4[[#This Row],[TPS Cumul (h)]]&gt;0,Novembre4[[#This Row],[Charge Initiale (h)]]*Novembre4[[#This Row],[Prix de revien unitaire(€)]],0)</f>
        <v>272</v>
      </c>
      <c r="L10" s="4">
        <f>Novembre4[[#This Row],[CR (h)]]*Novembre4[[#This Row],[Prix de revien unitaire(€)]]</f>
        <v>408</v>
      </c>
      <c r="M10" s="4">
        <f>Novembre4[[#This Row],[Prix de revien unitaire(€)]]*Novembre4[[#This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Novembre4[[#This Row],[TPS Période(h)]]</f>
        <v>3</v>
      </c>
      <c r="G11" s="4">
        <f>IF(N11="Non",MAX(Novembre4[[#This Row],[Charge Initiale (h)]]-Novembre4[[#This Row],[TPS Cumul (h)]],0),0)</f>
        <v>0</v>
      </c>
      <c r="H11" s="4">
        <f>Novembre4[[#This Row],[TPS Cumul (h)]]+Novembre4[[#This Row],[Reste à passer (h) ]]</f>
        <v>3</v>
      </c>
      <c r="I11" s="4">
        <f>Novembre4[[#This Row],[CR (h)]] - Novembre4[[#This Row],[Charge Initiale (h)]]</f>
        <v>-1</v>
      </c>
      <c r="J11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1" s="4">
        <f>IF(Novembre4[[#This Row],[TPS Cumul (h)]]&gt;0,Novembre4[[#This Row],[Charge Initiale (h)]]*Novembre4[[#This Row],[Prix de revien unitaire(€)]],0)</f>
        <v>272</v>
      </c>
      <c r="L11" s="4">
        <f>Novembre4[[#This Row],[CR (h)]]*Novembre4[[#This Row],[Prix de revien unitaire(€)]]</f>
        <v>204</v>
      </c>
      <c r="M11" s="4">
        <f>Novembre4[[#This Row],[Prix de revien unitaire(€)]]*Novembre4[[#This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Novembre4[[#This Row],[TPS Période(h)]]</f>
        <v>3</v>
      </c>
      <c r="G12" s="4">
        <f>IF(N12="Non",MAX(Novembre4[[#This Row],[Charge Initiale (h)]]-Novembre4[[#This Row],[TPS Cumul (h)]],0),0)</f>
        <v>0</v>
      </c>
      <c r="H12" s="4">
        <f>Novembre4[[#This Row],[TPS Cumul (h)]]+Novembre4[[#This Row],[Reste à passer (h) ]]</f>
        <v>3</v>
      </c>
      <c r="I12" s="4">
        <f>Novembre4[[#This Row],[CR (h)]] - Novembre4[[#This Row],[Charge Initiale (h)]]</f>
        <v>2</v>
      </c>
      <c r="J1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2" s="4">
        <f>IF(Novembre4[[#This Row],[TPS Cumul (h)]]&gt;0,Novembre4[[#This Row],[Charge Initiale (h)]]*Novembre4[[#This Row],[Prix de revien unitaire(€)]],0)</f>
        <v>68</v>
      </c>
      <c r="L12" s="4">
        <f>Novembre4[[#This Row],[CR (h)]]*Novembre4[[#This Row],[Prix de revien unitaire(€)]]</f>
        <v>204</v>
      </c>
      <c r="M12" s="4">
        <f>Novembre4[[#This Row],[Prix de revien unitaire(€)]]*Novembre4[[#This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Novembre4[[#This Row],[TPS Période(h)]]</f>
        <v>1</v>
      </c>
      <c r="G13" s="4">
        <f>IF(N13="Non",MAX(Novembre4[[#This Row],[Charge Initiale (h)]]-Novembre4[[#This Row],[TPS Cumul (h)]],0),0)</f>
        <v>0</v>
      </c>
      <c r="H13" s="4">
        <f>Novembre4[[#This Row],[TPS Cumul (h)]]+Novembre4[[#This Row],[Reste à passer (h) ]]</f>
        <v>1</v>
      </c>
      <c r="I13" s="4">
        <f>Novembre4[[#This Row],[CR (h)]] - Novembre4[[#This Row],[Charge Initiale (h)]]</f>
        <v>-1</v>
      </c>
      <c r="J1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3" s="4">
        <f>IF(Novembre4[[#This Row],[TPS Cumul (h)]]&gt;0,Novembre4[[#This Row],[Charge Initiale (h)]]*Novembre4[[#This Row],[Prix de revien unitaire(€)]],0)</f>
        <v>136</v>
      </c>
      <c r="L13" s="4">
        <f>Novembre4[[#This Row],[CR (h)]]*Novembre4[[#This Row],[Prix de revien unitaire(€)]]</f>
        <v>68</v>
      </c>
      <c r="M13" s="4">
        <f>Novembre4[[#This Row],[Prix de revien unitaire(€)]]*Novembre4[[#This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Novembre4[[#This Row],[TPS Période(h)]]</f>
        <v>6</v>
      </c>
      <c r="G14" s="4">
        <f>IF(N14="Non",MAX(Novembre4[[#This Row],[Charge Initiale (h)]]-Novembre4[[#This Row],[TPS Cumul (h)]],0),0)</f>
        <v>0</v>
      </c>
      <c r="H14" s="4">
        <f>Novembre4[[#This Row],[TPS Cumul (h)]]+Novembre4[[#This Row],[Reste à passer (h) ]]</f>
        <v>6</v>
      </c>
      <c r="I14" s="4">
        <f>Novembre4[[#This Row],[CR (h)]] - Novembre4[[#This Row],[Charge Initiale (h)]]</f>
        <v>-1</v>
      </c>
      <c r="J14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4" s="4">
        <f>IF(Novembre4[[#This Row],[TPS Cumul (h)]]&gt;0,Novembre4[[#This Row],[Charge Initiale (h)]]*Novembre4[[#This Row],[Prix de revien unitaire(€)]],0)</f>
        <v>476</v>
      </c>
      <c r="L14" s="4">
        <f>Novembre4[[#This Row],[CR (h)]]*Novembre4[[#This Row],[Prix de revien unitaire(€)]]</f>
        <v>408</v>
      </c>
      <c r="M14" s="4">
        <f>Novembre4[[#This Row],[Prix de revien unitaire(€)]]*Novembre4[[#This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Novembre4[[#This Row],[TPS Période(h)]]</f>
        <v>5</v>
      </c>
      <c r="G15" s="4">
        <f>IF(N15="Non",MAX(Novembre4[[#This Row],[Charge Initiale (h)]]-Novembre4[[#This Row],[TPS Cumul (h)]],0),0)</f>
        <v>0</v>
      </c>
      <c r="H15" s="4">
        <f>Novembre4[[#This Row],[TPS Cumul (h)]]+Novembre4[[#This Row],[Reste à passer (h) ]]</f>
        <v>5</v>
      </c>
      <c r="I15" s="4">
        <f>Novembre4[[#This Row],[CR (h)]] - Novembre4[[#This Row],[Charge Initiale (h)]]</f>
        <v>-2</v>
      </c>
      <c r="J1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5" s="4">
        <f>IF(Novembre4[[#This Row],[TPS Cumul (h)]]&gt;0,Novembre4[[#This Row],[Charge Initiale (h)]]*Novembre4[[#This Row],[Prix de revien unitaire(€)]],0)</f>
        <v>476</v>
      </c>
      <c r="L15" s="4">
        <f>Novembre4[[#This Row],[CR (h)]]*Novembre4[[#This Row],[Prix de revien unitaire(€)]]</f>
        <v>340</v>
      </c>
      <c r="M15" s="4">
        <f>Novembre4[[#This Row],[Prix de revien unitaire(€)]]*Novembre4[[#This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Novembre4[[#This Row],[TPS Période(h)]]</f>
        <v>4</v>
      </c>
      <c r="G16" s="18">
        <f>IF(N16="Non",MAX(Novembre4[[#This Row],[Charge Initiale (h)]]-Novembre4[[#This Row],[TPS Cumul (h)]],0),0)</f>
        <v>0</v>
      </c>
      <c r="H16" s="18">
        <f>Novembre4[[#This Row],[TPS Cumul (h)]]+Novembre4[[#This Row],[Reste à passer (h) ]]</f>
        <v>4</v>
      </c>
      <c r="I16" s="18">
        <f>Novembre4[[#This Row],[CR (h)]] - Novembre4[[#This Row],[Charge Initiale (h)]]</f>
        <v>0</v>
      </c>
      <c r="J16" s="18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6" s="4">
        <f>IF(Novembre4[[#This Row],[TPS Cumul (h)]]&gt;0,Novembre4[[#This Row],[Charge Initiale (h)]]*Novembre4[[#This Row],[Prix de revien unitaire(€)]],0)</f>
        <v>272</v>
      </c>
      <c r="L16" s="18">
        <f>Novembre4[[#This Row],[CR (h)]]*Novembre4[[#This Row],[Prix de revien unitaire(€)]]</f>
        <v>272</v>
      </c>
      <c r="M16" s="18">
        <f>Novembre4[[#This Row],[Prix de revien unitaire(€)]]*Novembre4[[#This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Novembre4[[#This Row],[TPS Période(h)]]</f>
        <v>2</v>
      </c>
      <c r="G17" s="4">
        <f>IF(N17="Non",MAX(Novembre4[[#This Row],[Charge Initiale (h)]]-Novembre4[[#This Row],[TPS Cumul (h)]],0),0)</f>
        <v>0</v>
      </c>
      <c r="H17" s="4">
        <f>Novembre4[[#This Row],[TPS Cumul (h)]]+Novembre4[[#This Row],[Reste à passer (h) ]]</f>
        <v>2</v>
      </c>
      <c r="I17" s="4">
        <f>Novembre4[[#This Row],[CR (h)]] - Novembre4[[#This Row],[Charge Initiale (h)]]</f>
        <v>-1</v>
      </c>
      <c r="J1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7" s="4">
        <f>IF(Novembre4[[#This Row],[TPS Cumul (h)]]&gt;0,Novembre4[[#This Row],[Charge Initiale (h)]]*Novembre4[[#This Row],[Prix de revien unitaire(€)]],0)</f>
        <v>204</v>
      </c>
      <c r="L17" s="4">
        <f>Novembre4[[#This Row],[CR (h)]]*Novembre4[[#This Row],[Prix de revien unitaire(€)]]</f>
        <v>136</v>
      </c>
      <c r="M17" s="4">
        <f>Novembre4[[#This Row],[Prix de revien unitaire(€)]]*Novembre4[[#This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Novembre4[[#This Row],[TPS Période(h)]]</f>
        <v>7</v>
      </c>
      <c r="G18" s="4">
        <f>IF(N18="Non",MAX(Novembre4[[#This Row],[Charge Initiale (h)]]-Novembre4[[#This Row],[TPS Cumul (h)]],0),0)</f>
        <v>0</v>
      </c>
      <c r="H18" s="4">
        <f>Novembre4[[#This Row],[TPS Cumul (h)]]+Novembre4[[#This Row],[Reste à passer (h) ]]</f>
        <v>7</v>
      </c>
      <c r="I18" s="4">
        <f>Novembre4[[#This Row],[CR (h)]] - Novembre4[[#This Row],[Charge Initiale (h)]]</f>
        <v>-5</v>
      </c>
      <c r="J1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8" s="4">
        <f>IF(Novembre4[[#This Row],[TPS Cumul (h)]]&gt;0,Novembre4[[#This Row],[Charge Initiale (h)]]*Novembre4[[#This Row],[Prix de revien unitaire(€)]],0)</f>
        <v>816</v>
      </c>
      <c r="L18" s="4">
        <f>Novembre4[[#This Row],[CR (h)]]*Novembre4[[#This Row],[Prix de revien unitaire(€)]]</f>
        <v>476</v>
      </c>
      <c r="M18" s="4">
        <f>Novembre4[[#This Row],[Prix de revien unitaire(€)]]*Novembre4[[#This Row],[TPS Cumul (h)]]</f>
        <v>476</v>
      </c>
      <c r="N18" s="1" t="s">
        <v>38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20</v>
      </c>
      <c r="F19" s="4">
        <f>Novembre4[[#This Row],[TPS Période(h)]]</f>
        <v>20</v>
      </c>
      <c r="G19" s="4">
        <f>IF(N19="Non",MAX(Novembre4[[#This Row],[Charge Initiale (h)]]-Novembre4[[#This Row],[TPS Cumul (h)]],0),0)</f>
        <v>0</v>
      </c>
      <c r="H19" s="4">
        <f>Novembre4[[#This Row],[TPS Cumul (h)]]+Novembre4[[#This Row],[Reste à passer (h) ]]</f>
        <v>20</v>
      </c>
      <c r="I19" s="4">
        <f>Novembre4[[#This Row],[CR (h)]] - Novembre4[[#This Row],[Charge Initiale (h)]]</f>
        <v>7</v>
      </c>
      <c r="J1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19" s="4">
        <f>IF(Novembre4[[#This Row],[TPS Cumul (h)]]&gt;0,Novembre4[[#This Row],[Charge Initiale (h)]]*Novembre4[[#This Row],[Prix de revien unitaire(€)]],0)</f>
        <v>884</v>
      </c>
      <c r="L19" s="4">
        <f>Novembre4[[#This Row],[CR (h)]]*Novembre4[[#This Row],[Prix de revien unitaire(€)]]</f>
        <v>1360</v>
      </c>
      <c r="M19" s="4">
        <f>Novembre4[[#This Row],[Prix de revien unitaire(€)]]*Novembre4[[#This Row],[TPS Cumul (h)]]</f>
        <v>1360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Novembre4[[#This Row],[TPS Période(h)]]</f>
        <v>0</v>
      </c>
      <c r="G20" s="4">
        <f>IF(N20="Non",MAX(Novembre4[[#This Row],[Charge Initiale (h)]]-Novembre4[[#This Row],[TPS Cumul (h)]],0),0)</f>
        <v>3</v>
      </c>
      <c r="H20" s="4">
        <f>Novembre4[[#This Row],[TPS Cumul (h)]]+Novembre4[[#This Row],[Reste à passer (h) ]]</f>
        <v>3</v>
      </c>
      <c r="I20" s="4">
        <f>Novembre4[[#This Row],[CR (h)]] - Novembre4[[#This Row],[Charge Initiale (h)]]</f>
        <v>0</v>
      </c>
      <c r="J2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0" s="4">
        <f>IF(Novembre4[[#This Row],[TPS Cumul (h)]]&gt;0,Novembre4[[#This Row],[Charge Initiale (h)]]*Novembre4[[#This Row],[Prix de revien unitaire(€)]],0)</f>
        <v>0</v>
      </c>
      <c r="L20" s="4">
        <f>Novembre4[[#This Row],[CR (h)]]*Novembre4[[#This Row],[Prix de revien unitaire(€)]]</f>
        <v>204</v>
      </c>
      <c r="M20" s="4">
        <f>Novembre4[[#This Row],[Prix de revien unitaire(€)]]*Novembre4[[#This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Novembre4[[#This Row],[TPS Période(h)]]</f>
        <v>0</v>
      </c>
      <c r="G21" s="4">
        <f>IF(N21="Non",MAX(Novembre4[[#This Row],[Charge Initiale (h)]]-Novembre4[[#This Row],[TPS Cumul (h)]],0),0)</f>
        <v>7</v>
      </c>
      <c r="H21" s="4">
        <f>Novembre4[[#This Row],[TPS Cumul (h)]]+Novembre4[[#This Row],[Reste à passer (h) ]]</f>
        <v>7</v>
      </c>
      <c r="I21" s="4">
        <f>Novembre4[[#This Row],[CR (h)]] - Novembre4[[#This Row],[Charge Initiale (h)]]</f>
        <v>0</v>
      </c>
      <c r="J21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1" s="4">
        <f>IF(Novembre4[[#This Row],[TPS Cumul (h)]]&gt;0,Novembre4[[#This Row],[Charge Initiale (h)]]*Novembre4[[#This Row],[Prix de revien unitaire(€)]],0)</f>
        <v>0</v>
      </c>
      <c r="L21" s="4">
        <f>Novembre4[[#This Row],[CR (h)]]*Novembre4[[#This Row],[Prix de revien unitaire(€)]]</f>
        <v>476</v>
      </c>
      <c r="M21" s="4">
        <f>Novembre4[[#This Row],[Prix de revien unitaire(€)]]*Novembre4[[#This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Novembre4[[#This Row],[TPS Période(h)]]</f>
        <v>3</v>
      </c>
      <c r="G22" s="4">
        <f>IF(N22="Non",MAX(Novembre4[[#This Row],[Charge Initiale (h)]]-Novembre4[[#This Row],[TPS Cumul (h)]],0),0)</f>
        <v>4</v>
      </c>
      <c r="H22" s="4">
        <f>Novembre4[[#This Row],[TPS Cumul (h)]]+Novembre4[[#This Row],[Reste à passer (h) ]]</f>
        <v>7</v>
      </c>
      <c r="I22" s="4">
        <f>Novembre4[[#This Row],[CR (h)]] - Novembre4[[#This Row],[Charge Initiale (h)]]</f>
        <v>0</v>
      </c>
      <c r="J22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2" s="4">
        <f>IF(Novembre4[[#This Row],[TPS Cumul (h)]]&gt;0,Novembre4[[#This Row],[Charge Initiale (h)]]*Novembre4[[#This Row],[Prix de revien unitaire(€)]],0)</f>
        <v>476</v>
      </c>
      <c r="L22" s="4">
        <f>Novembre4[[#This Row],[CR (h)]]*Novembre4[[#This Row],[Prix de revien unitaire(€)]]</f>
        <v>476</v>
      </c>
      <c r="M22" s="4">
        <f>Novembre4[[#This Row],[Prix de revien unitaire(€)]]*Novembre4[[#This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Novembre4[[#This Row],[TPS Période(h)]]</f>
        <v>3</v>
      </c>
      <c r="G23" s="4">
        <f>IF(N23="Non",MAX(Novembre4[[#This Row],[Charge Initiale (h)]]-Novembre4[[#This Row],[TPS Cumul (h)]],0),0)</f>
        <v>0</v>
      </c>
      <c r="H23" s="4">
        <f>Novembre4[[#This Row],[TPS Cumul (h)]]+Novembre4[[#This Row],[Reste à passer (h) ]]</f>
        <v>3</v>
      </c>
      <c r="I23" s="4">
        <f>Novembre4[[#This Row],[CR (h)]] - Novembre4[[#This Row],[Charge Initiale (h)]]</f>
        <v>1</v>
      </c>
      <c r="J23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3" s="4">
        <f>IF(Novembre4[[#This Row],[TPS Cumul (h)]]&gt;0,Novembre4[[#This Row],[Charge Initiale (h)]]*Novembre4[[#This Row],[Prix de revien unitaire(€)]],0)</f>
        <v>136</v>
      </c>
      <c r="L23" s="4">
        <f>Novembre4[[#This Row],[CR (h)]]*Novembre4[[#This Row],[Prix de revien unitaire(€)]]</f>
        <v>204</v>
      </c>
      <c r="M23" s="4">
        <f>Novembre4[[#This Row],[Prix de revien unitaire(€)]]*Novembre4[[#This Row],[TPS Cumul (h)]]</f>
        <v>204</v>
      </c>
      <c r="N23" s="1" t="s">
        <v>38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>
        <v>2</v>
      </c>
      <c r="F24" s="4">
        <f>Novembre4[[#This Row],[TPS Période(h)]]</f>
        <v>2</v>
      </c>
      <c r="G24" s="4">
        <f>IF(N24="Non",MAX(Novembre4[[#This Row],[Charge Initiale (h)]]-Novembre4[[#This Row],[TPS Cumul (h)]],0),0)</f>
        <v>0</v>
      </c>
      <c r="H24" s="4">
        <f>Novembre4[[#This Row],[TPS Cumul (h)]]+Novembre4[[#This Row],[Reste à passer (h) ]]</f>
        <v>2</v>
      </c>
      <c r="I24" s="4">
        <f>Novembre4[[#This Row],[CR (h)]] - Novembre4[[#This Row],[Charge Initiale (h)]]</f>
        <v>0</v>
      </c>
      <c r="J24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4" s="4">
        <f>IF(Novembre4[[#This Row],[TPS Cumul (h)]]&gt;0,Novembre4[[#This Row],[Charge Initiale (h)]]*Novembre4[[#This Row],[Prix de revien unitaire(€)]],0)</f>
        <v>136</v>
      </c>
      <c r="L24" s="4">
        <f>Novembre4[[#This Row],[CR (h)]]*Novembre4[[#This Row],[Prix de revien unitaire(€)]]</f>
        <v>136</v>
      </c>
      <c r="M24" s="4">
        <f>Novembre4[[#This Row],[Prix de revien unitaire(€)]]*Novembre4[[#This Row],[TPS Cumul (h)]]</f>
        <v>136</v>
      </c>
      <c r="N24" s="1" t="s">
        <v>38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Novembre4[[#This Row],[TPS Période(h)]]</f>
        <v>0</v>
      </c>
      <c r="G25" s="4">
        <f>IF(N25="Non",MAX(Novembre4[[#This Row],[Charge Initiale (h)]]-Novembre4[[#This Row],[TPS Cumul (h)]],0),0)</f>
        <v>2</v>
      </c>
      <c r="H25" s="4">
        <f>Novembre4[[#This Row],[TPS Cumul (h)]]+Novembre4[[#This Row],[Reste à passer (h) ]]</f>
        <v>2</v>
      </c>
      <c r="I25" s="4">
        <f>Novembre4[[#This Row],[CR (h)]] - Novembre4[[#This Row],[Charge Initiale (h)]]</f>
        <v>0</v>
      </c>
      <c r="J25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5" s="4">
        <f>IF(Novembre4[[#This Row],[TPS Cumul (h)]]&gt;0,Novembre4[[#This Row],[Charge Initiale (h)]]*Novembre4[[#This Row],[Prix de revien unitaire(€)]],0)</f>
        <v>0</v>
      </c>
      <c r="L25" s="4">
        <f>Novembre4[[#This Row],[CR (h)]]*Novembre4[[#This Row],[Prix de revien unitaire(€)]]</f>
        <v>136</v>
      </c>
      <c r="M25" s="4">
        <f>Novembre4[[#This Row],[Prix de revien unitaire(€)]]*Novembre4[[#This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Novembre4[[#This Row],[TPS Période(h)]]</f>
        <v>0</v>
      </c>
      <c r="G26" s="4">
        <f>IF(N26="Non",MAX(Novembre4[[#This Row],[Charge Initiale (h)]]-Novembre4[[#This Row],[TPS Cumul (h)]],0),0)</f>
        <v>10</v>
      </c>
      <c r="H26" s="4">
        <f>Novembre4[[#This Row],[TPS Cumul (h)]]+Novembre4[[#This Row],[Reste à passer (h) ]]</f>
        <v>10</v>
      </c>
      <c r="I26" s="4">
        <f>Novembre4[[#This Row],[CR (h)]] - Novembre4[[#This Row],[Charge Initiale (h)]]</f>
        <v>0</v>
      </c>
      <c r="J26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6" s="4">
        <f>IF(Novembre4[[#This Row],[TPS Cumul (h)]]&gt;0,Novembre4[[#This Row],[Charge Initiale (h)]]*Novembre4[[#This Row],[Prix de revien unitaire(€)]],0)</f>
        <v>0</v>
      </c>
      <c r="L26" s="4">
        <f>Novembre4[[#This Row],[CR (h)]]*Novembre4[[#This Row],[Prix de revien unitaire(€)]]</f>
        <v>680</v>
      </c>
      <c r="M26" s="4">
        <f>Novembre4[[#This Row],[Prix de revien unitaire(€)]]*Novembre4[[#This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Novembre4[[#This Row],[TPS Période(h)]]</f>
        <v>0</v>
      </c>
      <c r="G27" s="4">
        <f>IF(N27="Non",MAX(Novembre4[[#This Row],[Charge Initiale (h)]]-Novembre4[[#This Row],[TPS Cumul (h)]],0),0)</f>
        <v>2</v>
      </c>
      <c r="H27" s="4">
        <f>Novembre4[[#This Row],[TPS Cumul (h)]]+Novembre4[[#This Row],[Reste à passer (h) ]]</f>
        <v>2</v>
      </c>
      <c r="I27" s="4">
        <f>Novembre4[[#This Row],[CR (h)]] - Novembre4[[#This Row],[Charge Initiale (h)]]</f>
        <v>0</v>
      </c>
      <c r="J27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7" s="4">
        <f>IF(Novembre4[[#This Row],[TPS Cumul (h)]]&gt;0,Novembre4[[#This Row],[Charge Initiale (h)]]*Novembre4[[#This Row],[Prix de revien unitaire(€)]],0)</f>
        <v>0</v>
      </c>
      <c r="L27" s="4">
        <f>Novembre4[[#This Row],[CR (h)]]*Novembre4[[#This Row],[Prix de revien unitaire(€)]]</f>
        <v>136</v>
      </c>
      <c r="M27" s="4">
        <f>Novembre4[[#This Row],[Prix de revien unitaire(€)]]*Novembre4[[#This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Novembre4[[#This Row],[TPS Période(h)]]</f>
        <v>0</v>
      </c>
      <c r="G28" s="4">
        <f>IF(N28="Non",MAX(Novembre4[[#This Row],[Charge Initiale (h)]]-Novembre4[[#This Row],[TPS Cumul (h)]],0),0)</f>
        <v>3</v>
      </c>
      <c r="H28" s="4">
        <f>Novembre4[[#This Row],[TPS Cumul (h)]]+Novembre4[[#This Row],[Reste à passer (h) ]]</f>
        <v>3</v>
      </c>
      <c r="I28" s="4">
        <f>Novembre4[[#This Row],[CR (h)]] - Novembre4[[#This Row],[Charge Initiale (h)]]</f>
        <v>0</v>
      </c>
      <c r="J28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8" s="4">
        <f>IF(Novembre4[[#This Row],[TPS Cumul (h)]]&gt;0,Novembre4[[#This Row],[Charge Initiale (h)]]*Novembre4[[#This Row],[Prix de revien unitaire(€)]],0)</f>
        <v>0</v>
      </c>
      <c r="L28" s="4">
        <f>Novembre4[[#This Row],[CR (h)]]*Novembre4[[#This Row],[Prix de revien unitaire(€)]]</f>
        <v>204</v>
      </c>
      <c r="M28" s="4">
        <f>Novembre4[[#This Row],[Prix de revien unitaire(€)]]*Novembre4[[#This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Novembre4[[#This Row],[TPS Période(h)]]</f>
        <v>0</v>
      </c>
      <c r="G29" s="4">
        <f>IF(N29="Non",MAX(Novembre4[[#This Row],[Charge Initiale (h)]]-Novembre4[[#This Row],[TPS Cumul (h)]],0),0)</f>
        <v>0</v>
      </c>
      <c r="H29" s="4">
        <f>Novembre4[[#This Row],[TPS Cumul (h)]]+Novembre4[[#This Row],[Reste à passer (h) ]]</f>
        <v>0</v>
      </c>
      <c r="I29" s="4">
        <f>Novembre4[[#This Row],[CR (h)]] - Novembre4[[#This Row],[Charge Initiale (h)]]</f>
        <v>0</v>
      </c>
      <c r="J29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29" s="4">
        <f>IF(Novembre4[[#This Row],[TPS Cumul (h)]]&gt;0,Novembre4[[#This Row],[Charge Initiale (h)]]*Novembre4[[#This Row],[Prix de revien unitaire(€)]],0)</f>
        <v>0</v>
      </c>
      <c r="L29" s="4">
        <f>Novembre4[[#This Row],[CR (h)]]*Novembre4[[#This Row],[Prix de revien unitaire(€)]]</f>
        <v>0</v>
      </c>
      <c r="M29" s="4">
        <f>Novembre4[[#This Row],[Prix de revien unitaire(€)]]*Novembre4[[#This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Novembre4[[#This Row],[TPS Période(h)]]</f>
        <v>0</v>
      </c>
      <c r="G30" s="4">
        <f>IF(N30="Non",MAX(Novembre4[[#This Row],[Charge Initiale (h)]]-Novembre4[[#This Row],[TPS Cumul (h)]],0),0)</f>
        <v>0</v>
      </c>
      <c r="H30" s="4">
        <f>Novembre4[[#This Row],[TPS Cumul (h)]]+Novembre4[[#This Row],[Reste à passer (h) ]]</f>
        <v>0</v>
      </c>
      <c r="I30" s="4">
        <f>Novembre4[[#This Row],[CR (h)]] - Novembre4[[#This Row],[Charge Initiale (h)]]</f>
        <v>0</v>
      </c>
      <c r="J30" s="4" t="str">
        <f>IF(Novembre4[[#This Row],[Qui]]="Chef de projet","68",IF(Novembre4[[#This Row],[Qui]]="Ingénieur Electronique","32",IF(Novembre4[[#This Row],[Qui]]="Ingénieur qualité","36",IF(Novembre4[[#This Row],[Qui]]="Ingénieur Développement",30,IF(Novembre4[[#This Row],[Qui]]="Ingénieur Mécanique",34,"")))))</f>
        <v>68</v>
      </c>
      <c r="K30" s="4">
        <f>IF(Novembre4[[#This Row],[TPS Cumul (h)]]&gt;0,Novembre4[[#This Row],[Charge Initiale (h)]]*Novembre4[[#This Row],[Prix de revien unitaire(€)]],0)</f>
        <v>0</v>
      </c>
      <c r="L30" s="4">
        <f>Novembre4[[#This Row],[CR (h)]]*Novembre4[[#This Row],[Prix de revien unitaire(€)]]</f>
        <v>0</v>
      </c>
      <c r="M30" s="4">
        <f>Novembre4[[#This Row],[Prix de revien unitaire(€)]]*Novembre4[[#This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SUBTOTAL(109,Novembre4[Charge Initiale (h)])</f>
        <v>120</v>
      </c>
      <c r="E31" s="2">
        <f>SUBTOTAL(109,Novembre4[TPS Période(h)])</f>
        <v>90</v>
      </c>
      <c r="F31" s="2">
        <f>SUBTOTAL(109,Novembre4[TPS Cumul (h)])</f>
        <v>90</v>
      </c>
      <c r="G31" s="2">
        <f>SUBTOTAL(109,Novembre4[Reste à passer (h) ])</f>
        <v>31</v>
      </c>
      <c r="H31" s="2">
        <f>SUBTOTAL(109,Novembre4[CR (h)])</f>
        <v>121</v>
      </c>
      <c r="I31" s="2">
        <f>SUBTOTAL(109,Novembre4[ Ecart de charge (h)])</f>
        <v>1</v>
      </c>
      <c r="J31" s="2">
        <f>SUBTOTAL(109,Novembre4[Prix de revien unitaire(€)])</f>
        <v>0</v>
      </c>
      <c r="K31" s="2">
        <f>SUBTOTAL(109,Novembre4[Coût Initial (€)])</f>
        <v>6324</v>
      </c>
      <c r="L31" s="1">
        <f>SUBTOTAL(109,Novembre4[Coût Révisé (€)])</f>
        <v>8228</v>
      </c>
      <c r="M31" s="2">
        <f>SUBTOTAL(109,Novembre4[Coût Réel])</f>
        <v>6120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</sheetData>
  <mergeCells count="8">
    <mergeCell ref="A22:A23"/>
    <mergeCell ref="A24:A25"/>
    <mergeCell ref="A28:A30"/>
    <mergeCell ref="A4:A9"/>
    <mergeCell ref="A2:A3"/>
    <mergeCell ref="A10:A13"/>
    <mergeCell ref="A14:A17"/>
    <mergeCell ref="A18:A21"/>
  </mergeCells>
  <phoneticPr fontId="2" type="noConversion"/>
  <conditionalFormatting sqref="B2:B3 D2:D30">
    <cfRule type="expression" dxfId="78" priority="3">
      <formula>$F2&gt;0</formula>
    </cfRule>
  </conditionalFormatting>
  <conditionalFormatting sqref="B4:B9">
    <cfRule type="expression" dxfId="77" priority="5">
      <formula>#REF!&gt;0</formula>
    </cfRule>
  </conditionalFormatting>
  <conditionalFormatting sqref="B6">
    <cfRule type="expression" dxfId="76" priority="6">
      <formula>$F4&gt;0</formula>
    </cfRule>
  </conditionalFormatting>
  <conditionalFormatting sqref="B7:B8">
    <cfRule type="expression" dxfId="75" priority="14">
      <formula>$F12&gt;0</formula>
    </cfRule>
  </conditionalFormatting>
  <conditionalFormatting sqref="B9">
    <cfRule type="expression" dxfId="74" priority="13">
      <formula>$F13&gt;0</formula>
    </cfRule>
  </conditionalFormatting>
  <conditionalFormatting sqref="B11">
    <cfRule type="expression" dxfId="73" priority="8">
      <formula>#REF!&gt;0</formula>
    </cfRule>
  </conditionalFormatting>
  <conditionalFormatting sqref="B12:B13">
    <cfRule type="expression" dxfId="72" priority="7">
      <formula>$F15&gt;0</formula>
    </cfRule>
  </conditionalFormatting>
  <conditionalFormatting sqref="B14:B18">
    <cfRule type="expression" dxfId="71" priority="4">
      <formula>#REF!&gt;0</formula>
    </cfRule>
  </conditionalFormatting>
  <conditionalFormatting sqref="B20:B28">
    <cfRule type="expression" dxfId="70" priority="2">
      <formula>#REF!&gt;0</formula>
    </cfRule>
  </conditionalFormatting>
  <conditionalFormatting sqref="B21 B23:B26 B28 C2:C30 F2:M30">
    <cfRule type="expression" dxfId="69" priority="9">
      <formula>$N2="Oui"</formula>
    </cfRule>
  </conditionalFormatting>
  <conditionalFormatting sqref="B21">
    <cfRule type="expression" dxfId="68" priority="11">
      <formula>$N18="Oui"</formula>
    </cfRule>
    <cfRule type="expression" dxfId="67" priority="12">
      <formula>$F18&gt;0</formula>
    </cfRule>
  </conditionalFormatting>
  <conditionalFormatting sqref="B24:B28">
    <cfRule type="expression" dxfId="66" priority="17">
      <formula>#REF!="Oui"</formula>
    </cfRule>
    <cfRule type="expression" dxfId="65" priority="18">
      <formula>#REF!&gt;0</formula>
    </cfRule>
  </conditionalFormatting>
  <conditionalFormatting sqref="B27">
    <cfRule type="expression" dxfId="64" priority="15">
      <formula>#REF!="Oui"</formula>
    </cfRule>
    <cfRule type="expression" dxfId="63" priority="16">
      <formula>#REF!&gt;0</formula>
    </cfRule>
    <cfRule type="expression" dxfId="62" priority="19">
      <formula>$N29="Oui"</formula>
    </cfRule>
    <cfRule type="expression" dxfId="61" priority="20">
      <formula>$F29&gt;0</formula>
    </cfRule>
    <cfRule type="expression" dxfId="60" priority="21">
      <formula>#REF!="Oui"</formula>
    </cfRule>
    <cfRule type="expression" dxfId="59" priority="22">
      <formula>#REF!&gt;0</formula>
    </cfRule>
  </conditionalFormatting>
  <conditionalFormatting sqref="C2:C30 F2:M30 B21 B23:B26 B28">
    <cfRule type="expression" dxfId="58" priority="10">
      <formula>$F2&gt;0</formula>
    </cfRule>
  </conditionalFormatting>
  <conditionalFormatting sqref="E2:E30">
    <cfRule type="expression" dxfId="57" priority="1">
      <formula>$F2&gt;0</formula>
    </cfRule>
  </conditionalFormatting>
  <dataValidations count="2">
    <dataValidation type="list" allowBlank="1" showInputMessage="1" showErrorMessage="1" sqref="N2:N30" xr:uid="{655BE242-643A-DB47-9FAC-6B8AA088CFD3}">
      <formula1>$N$36:$N$36</formula1>
    </dataValidation>
    <dataValidation type="list" allowBlank="1" showInputMessage="1" showErrorMessage="1" sqref="C2:C30" xr:uid="{E14B1100-8BD7-9749-8514-9B6045208BD6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0DD6-A7C5-4BE0-BF97-82C61AF38122}">
  <dimension ref="A1:N38"/>
  <sheetViews>
    <sheetView zoomScale="63" zoomScaleNormal="100" workbookViewId="0">
      <selection sqref="A1:N31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Novembre5[[#This Row],[TPS Période(h)]]</f>
        <v>1</v>
      </c>
      <c r="G2" s="4">
        <f>IF(N2="Non",MAX(Novembre5[[#This Row],[Charge Initiale (h)]]-Novembre5[[#This Row],[TPS Cumul (h)]],0),0)</f>
        <v>0</v>
      </c>
      <c r="H2" s="4">
        <f>Novembre5[[#This Row],[TPS Cumul (h)]]+Novembre5[[#This Row],[Reste à passer (h) ]]</f>
        <v>1</v>
      </c>
      <c r="I2" s="4">
        <f>Novembre5[[#This Row],[CR (h)]] - Novembre5[[#This Row],[Charge Initiale (h)]]</f>
        <v>0</v>
      </c>
      <c r="J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" s="4">
        <f>IF(Novembre5[[#This Row],[TPS Cumul (h)]]&gt;0,Novembre5[[#This Row],[Charge Initiale (h)]]*Novembre5[[#This Row],[Prix de revien unitaire(€)]],0)</f>
        <v>68</v>
      </c>
      <c r="L2" s="4">
        <f>Novembre5[[#This Row],[CR (h)]]*Novembre5[[#This Row],[Prix de revien unitaire(€)]]</f>
        <v>68</v>
      </c>
      <c r="M2" s="4">
        <f>Novembre5[[#This Row],[Prix de revien unitaire(€)]]*Novembre5[[#This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Novembre5[[#This Row],[TPS Période(h)]]</f>
        <v>10</v>
      </c>
      <c r="G3" s="4">
        <f>IF(N3="Non",MAX(Novembre5[[#This Row],[Charge Initiale (h)]]-Novembre5[[#This Row],[TPS Cumul (h)]],0),0)</f>
        <v>0</v>
      </c>
      <c r="H3" s="4">
        <f>Novembre5[[#This Row],[TPS Cumul (h)]]+Novembre5[[#This Row],[Reste à passer (h) ]]</f>
        <v>10</v>
      </c>
      <c r="I3" s="4">
        <f>Novembre5[[#This Row],[CR (h)]] - Novembre5[[#This Row],[Charge Initiale (h)]]</f>
        <v>0</v>
      </c>
      <c r="J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3" s="4">
        <f>IF(Novembre5[[#This Row],[TPS Cumul (h)]]&gt;0,Novembre5[[#This Row],[Charge Initiale (h)]]*Novembre5[[#This Row],[Prix de revien unitaire(€)]],0)</f>
        <v>680</v>
      </c>
      <c r="L3" s="4">
        <f>Novembre5[[#This Row],[CR (h)]]*Novembre5[[#This Row],[Prix de revien unitaire(€)]]</f>
        <v>680</v>
      </c>
      <c r="M3" s="4">
        <f>Novembre5[[#This Row],[Prix de revien unitaire(€)]]*Novembre5[[#This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Novembre5[[#This Row],[TPS Période(h)]]</f>
        <v>5</v>
      </c>
      <c r="G4" s="14">
        <f>IF(N4="Non",MAX(Novembre5[[#This Row],[Charge Initiale (h)]]-Novembre5[[#This Row],[TPS Cumul (h)]],0),0)</f>
        <v>0</v>
      </c>
      <c r="H4" s="14">
        <f>Novembre5[[#This Row],[TPS Cumul (h)]]+Novembre5[[#This Row],[Reste à passer (h) ]]</f>
        <v>5</v>
      </c>
      <c r="I4" s="14">
        <f>Novembre5[[#This Row],[CR (h)]] - Novembre5[[#This Row],[Charge Initiale (h)]]</f>
        <v>0</v>
      </c>
      <c r="J4" s="1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4" s="14">
        <f>IF(Novembre5[[#This Row],[TPS Cumul (h)]]&gt;0,Novembre5[[#This Row],[Charge Initiale (h)]]*Novembre5[[#This Row],[Prix de revien unitaire(€)]],0)</f>
        <v>340</v>
      </c>
      <c r="L4" s="14">
        <f>Novembre5[[#This Row],[CR (h)]]*Novembre5[[#This Row],[Prix de revien unitaire(€)]]</f>
        <v>340</v>
      </c>
      <c r="M4" s="14">
        <f>Novembre5[[#This Row],[Prix de revien unitaire(€)]]*Novembre5[[#This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Novembre5[[#This Row],[TPS Période(h)]]</f>
        <v>1</v>
      </c>
      <c r="G5" s="4">
        <f>IF(N5="Non",MAX(Novembre5[[#This Row],[Charge Initiale (h)]]-Novembre5[[#This Row],[TPS Cumul (h)]],0),0)</f>
        <v>0</v>
      </c>
      <c r="H5" s="4">
        <f>Novembre5[[#This Row],[TPS Cumul (h)]]+Novembre5[[#This Row],[Reste à passer (h) ]]</f>
        <v>1</v>
      </c>
      <c r="I5" s="4">
        <f>Novembre5[[#This Row],[CR (h)]] - Novembre5[[#This Row],[Charge Initiale (h)]]</f>
        <v>0</v>
      </c>
      <c r="J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5" s="4">
        <f>IF(Novembre5[[#This Row],[TPS Cumul (h)]]&gt;0,Novembre5[[#This Row],[Charge Initiale (h)]]*Novembre5[[#This Row],[Prix de revien unitaire(€)]],0)</f>
        <v>68</v>
      </c>
      <c r="L5" s="4">
        <f>Novembre5[[#This Row],[CR (h)]]*Novembre5[[#This Row],[Prix de revien unitaire(€)]]</f>
        <v>68</v>
      </c>
      <c r="M5" s="4">
        <f>Novembre5[[#This Row],[Prix de revien unitaire(€)]]*Novembre5[[#This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Novembre5[[#This Row],[TPS Période(h)]]</f>
        <v>2</v>
      </c>
      <c r="G6" s="4">
        <f>IF(N6="Non",MAX(Novembre5[[#This Row],[Charge Initiale (h)]]-Novembre5[[#This Row],[TPS Cumul (h)]],0),0)</f>
        <v>0</v>
      </c>
      <c r="H6" s="4">
        <f>Novembre5[[#This Row],[TPS Cumul (h)]]+Novembre5[[#This Row],[Reste à passer (h) ]]</f>
        <v>2</v>
      </c>
      <c r="I6" s="4">
        <f>Novembre5[[#This Row],[CR (h)]] - Novembre5[[#This Row],[Charge Initiale (h)]]</f>
        <v>0</v>
      </c>
      <c r="J6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6" s="4">
        <f>IF(Novembre5[[#This Row],[TPS Cumul (h)]]&gt;0,Novembre5[[#This Row],[Charge Initiale (h)]]*Novembre5[[#This Row],[Prix de revien unitaire(€)]],0)</f>
        <v>136</v>
      </c>
      <c r="L6" s="4">
        <f>Novembre5[[#This Row],[CR (h)]]*Novembre5[[#This Row],[Prix de revien unitaire(€)]]</f>
        <v>136</v>
      </c>
      <c r="M6" s="4">
        <f>Novembre5[[#This Row],[Prix de revien unitaire(€)]]*Novembre5[[#This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Novembre5[[#This Row],[TPS Période(h)]]</f>
        <v>2</v>
      </c>
      <c r="G7" s="4">
        <f>IF(N7="Non",MAX(Novembre5[[#This Row],[Charge Initiale (h)]]-Novembre5[[#This Row],[TPS Cumul (h)]],0),0)</f>
        <v>0</v>
      </c>
      <c r="H7" s="4">
        <f>Novembre5[[#This Row],[TPS Cumul (h)]]+Novembre5[[#This Row],[Reste à passer (h) ]]</f>
        <v>2</v>
      </c>
      <c r="I7" s="4">
        <f>Novembre5[[#This Row],[CR (h)]] - Novembre5[[#This Row],[Charge Initiale (h)]]</f>
        <v>0</v>
      </c>
      <c r="J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7" s="4">
        <f>IF(Novembre5[[#This Row],[TPS Cumul (h)]]&gt;0,Novembre5[[#This Row],[Charge Initiale (h)]]*Novembre5[[#This Row],[Prix de revien unitaire(€)]],0)</f>
        <v>136</v>
      </c>
      <c r="L7" s="4">
        <f>Novembre5[[#This Row],[CR (h)]]*Novembre5[[#This Row],[Prix de revien unitaire(€)]]</f>
        <v>136</v>
      </c>
      <c r="M7" s="4">
        <f>Novembre5[[#This Row],[Prix de revien unitaire(€)]]*Novembre5[[#This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Novembre5[[#This Row],[TPS Période(h)]]</f>
        <v>2</v>
      </c>
      <c r="G8" s="4">
        <f>IF(N8="Non",MAX(Novembre5[[#This Row],[Charge Initiale (h)]]-Novembre5[[#This Row],[TPS Cumul (h)]],0),0)</f>
        <v>0</v>
      </c>
      <c r="H8" s="4">
        <f>Novembre5[[#This Row],[TPS Cumul (h)]]+Novembre5[[#This Row],[Reste à passer (h) ]]</f>
        <v>2</v>
      </c>
      <c r="I8" s="4">
        <f>Novembre5[[#This Row],[CR (h)]] - Novembre5[[#This Row],[Charge Initiale (h)]]</f>
        <v>0</v>
      </c>
      <c r="J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8" s="4">
        <f>IF(Novembre5[[#This Row],[TPS Cumul (h)]]&gt;0,Novembre5[[#This Row],[Charge Initiale (h)]]*Novembre5[[#This Row],[Prix de revien unitaire(€)]],0)</f>
        <v>136</v>
      </c>
      <c r="L8" s="4">
        <f>Novembre5[[#This Row],[CR (h)]]*Novembre5[[#This Row],[Prix de revien unitaire(€)]]</f>
        <v>136</v>
      </c>
      <c r="M8" s="4">
        <f>Novembre5[[#This Row],[Prix de revien unitaire(€)]]*Novembre5[[#This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Novembre5[[#This Row],[TPS Période(h)]]</f>
        <v>2</v>
      </c>
      <c r="G9" s="4">
        <f>IF(N9="Non",MAX(Novembre5[[#This Row],[Charge Initiale (h)]]-Novembre5[[#This Row],[TPS Cumul (h)]],0),0)</f>
        <v>0</v>
      </c>
      <c r="H9" s="4">
        <f>Novembre5[[#This Row],[TPS Cumul (h)]]+Novembre5[[#This Row],[Reste à passer (h) ]]</f>
        <v>2</v>
      </c>
      <c r="I9" s="4">
        <f>Novembre5[[#This Row],[CR (h)]] - Novembre5[[#This Row],[Charge Initiale (h)]]</f>
        <v>0</v>
      </c>
      <c r="J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9" s="4">
        <f>IF(Novembre5[[#This Row],[TPS Cumul (h)]]&gt;0,Novembre5[[#This Row],[Charge Initiale (h)]]*Novembre5[[#This Row],[Prix de revien unitaire(€)]],0)</f>
        <v>136</v>
      </c>
      <c r="L9" s="4">
        <f>Novembre5[[#This Row],[CR (h)]]*Novembre5[[#This Row],[Prix de revien unitaire(€)]]</f>
        <v>136</v>
      </c>
      <c r="M9" s="4">
        <f>Novembre5[[#This Row],[Prix de revien unitaire(€)]]*Novembre5[[#This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Novembre5[[#This Row],[TPS Période(h)]]</f>
        <v>6</v>
      </c>
      <c r="G10" s="4">
        <f>IF(N10="Non",MAX(Novembre5[[#This Row],[Charge Initiale (h)]]-Novembre5[[#This Row],[TPS Cumul (h)]],0),0)</f>
        <v>0</v>
      </c>
      <c r="H10" s="4">
        <f>Novembre5[[#This Row],[TPS Cumul (h)]]+Novembre5[[#This Row],[Reste à passer (h) ]]</f>
        <v>6</v>
      </c>
      <c r="I10" s="4">
        <f>Novembre5[[#This Row],[CR (h)]] - Novembre5[[#This Row],[Charge Initiale (h)]]</f>
        <v>2</v>
      </c>
      <c r="J1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0" s="4">
        <f>IF(Novembre5[[#This Row],[TPS Cumul (h)]]&gt;0,Novembre5[[#This Row],[Charge Initiale (h)]]*Novembre5[[#This Row],[Prix de revien unitaire(€)]],0)</f>
        <v>272</v>
      </c>
      <c r="L10" s="4">
        <f>Novembre5[[#This Row],[CR (h)]]*Novembre5[[#This Row],[Prix de revien unitaire(€)]]</f>
        <v>408</v>
      </c>
      <c r="M10" s="4">
        <f>Novembre5[[#This Row],[Prix de revien unitaire(€)]]*Novembre5[[#This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Novembre5[[#This Row],[TPS Période(h)]]</f>
        <v>3</v>
      </c>
      <c r="G11" s="4">
        <f>IF(N11="Non",MAX(Novembre5[[#This Row],[Charge Initiale (h)]]-Novembre5[[#This Row],[TPS Cumul (h)]],0),0)</f>
        <v>0</v>
      </c>
      <c r="H11" s="4">
        <f>Novembre5[[#This Row],[TPS Cumul (h)]]+Novembre5[[#This Row],[Reste à passer (h) ]]</f>
        <v>3</v>
      </c>
      <c r="I11" s="4">
        <f>Novembre5[[#This Row],[CR (h)]] - Novembre5[[#This Row],[Charge Initiale (h)]]</f>
        <v>-1</v>
      </c>
      <c r="J11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1" s="4">
        <f>IF(Novembre5[[#This Row],[TPS Cumul (h)]]&gt;0,Novembre5[[#This Row],[Charge Initiale (h)]]*Novembre5[[#This Row],[Prix de revien unitaire(€)]],0)</f>
        <v>272</v>
      </c>
      <c r="L11" s="4">
        <f>Novembre5[[#This Row],[CR (h)]]*Novembre5[[#This Row],[Prix de revien unitaire(€)]]</f>
        <v>204</v>
      </c>
      <c r="M11" s="4">
        <f>Novembre5[[#This Row],[Prix de revien unitaire(€)]]*Novembre5[[#This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Novembre5[[#This Row],[TPS Période(h)]]</f>
        <v>3</v>
      </c>
      <c r="G12" s="4">
        <f>IF(N12="Non",MAX(Novembre5[[#This Row],[Charge Initiale (h)]]-Novembre5[[#This Row],[TPS Cumul (h)]],0),0)</f>
        <v>0</v>
      </c>
      <c r="H12" s="4">
        <f>Novembre5[[#This Row],[TPS Cumul (h)]]+Novembre5[[#This Row],[Reste à passer (h) ]]</f>
        <v>3</v>
      </c>
      <c r="I12" s="4">
        <f>Novembre5[[#This Row],[CR (h)]] - Novembre5[[#This Row],[Charge Initiale (h)]]</f>
        <v>2</v>
      </c>
      <c r="J1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2" s="4">
        <f>IF(Novembre5[[#This Row],[TPS Cumul (h)]]&gt;0,Novembre5[[#This Row],[Charge Initiale (h)]]*Novembre5[[#This Row],[Prix de revien unitaire(€)]],0)</f>
        <v>68</v>
      </c>
      <c r="L12" s="4">
        <f>Novembre5[[#This Row],[CR (h)]]*Novembre5[[#This Row],[Prix de revien unitaire(€)]]</f>
        <v>204</v>
      </c>
      <c r="M12" s="4">
        <f>Novembre5[[#This Row],[Prix de revien unitaire(€)]]*Novembre5[[#This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Novembre5[[#This Row],[TPS Période(h)]]</f>
        <v>1</v>
      </c>
      <c r="G13" s="4">
        <f>IF(N13="Non",MAX(Novembre5[[#This Row],[Charge Initiale (h)]]-Novembre5[[#This Row],[TPS Cumul (h)]],0),0)</f>
        <v>0</v>
      </c>
      <c r="H13" s="4">
        <f>Novembre5[[#This Row],[TPS Cumul (h)]]+Novembre5[[#This Row],[Reste à passer (h) ]]</f>
        <v>1</v>
      </c>
      <c r="I13" s="4">
        <f>Novembre5[[#This Row],[CR (h)]] - Novembre5[[#This Row],[Charge Initiale (h)]]</f>
        <v>-1</v>
      </c>
      <c r="J1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3" s="4">
        <f>IF(Novembre5[[#This Row],[TPS Cumul (h)]]&gt;0,Novembre5[[#This Row],[Charge Initiale (h)]]*Novembre5[[#This Row],[Prix de revien unitaire(€)]],0)</f>
        <v>136</v>
      </c>
      <c r="L13" s="4">
        <f>Novembre5[[#This Row],[CR (h)]]*Novembre5[[#This Row],[Prix de revien unitaire(€)]]</f>
        <v>68</v>
      </c>
      <c r="M13" s="4">
        <f>Novembre5[[#This Row],[Prix de revien unitaire(€)]]*Novembre5[[#This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Novembre5[[#This Row],[TPS Période(h)]]</f>
        <v>6</v>
      </c>
      <c r="G14" s="4">
        <f>IF(N14="Non",MAX(Novembre5[[#This Row],[Charge Initiale (h)]]-Novembre5[[#This Row],[TPS Cumul (h)]],0),0)</f>
        <v>0</v>
      </c>
      <c r="H14" s="4">
        <f>Novembre5[[#This Row],[TPS Cumul (h)]]+Novembre5[[#This Row],[Reste à passer (h) ]]</f>
        <v>6</v>
      </c>
      <c r="I14" s="4">
        <f>Novembre5[[#This Row],[CR (h)]] - Novembre5[[#This Row],[Charge Initiale (h)]]</f>
        <v>-1</v>
      </c>
      <c r="J14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4" s="4">
        <f>IF(Novembre5[[#This Row],[TPS Cumul (h)]]&gt;0,Novembre5[[#This Row],[Charge Initiale (h)]]*Novembre5[[#This Row],[Prix de revien unitaire(€)]],0)</f>
        <v>476</v>
      </c>
      <c r="L14" s="4">
        <f>Novembre5[[#This Row],[CR (h)]]*Novembre5[[#This Row],[Prix de revien unitaire(€)]]</f>
        <v>408</v>
      </c>
      <c r="M14" s="4">
        <f>Novembre5[[#This Row],[Prix de revien unitaire(€)]]*Novembre5[[#This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Novembre5[[#This Row],[TPS Période(h)]]</f>
        <v>5</v>
      </c>
      <c r="G15" s="4">
        <f>IF(N15="Non",MAX(Novembre5[[#This Row],[Charge Initiale (h)]]-Novembre5[[#This Row],[TPS Cumul (h)]],0),0)</f>
        <v>0</v>
      </c>
      <c r="H15" s="4">
        <f>Novembre5[[#This Row],[TPS Cumul (h)]]+Novembre5[[#This Row],[Reste à passer (h) ]]</f>
        <v>5</v>
      </c>
      <c r="I15" s="4">
        <f>Novembre5[[#This Row],[CR (h)]] - Novembre5[[#This Row],[Charge Initiale (h)]]</f>
        <v>-2</v>
      </c>
      <c r="J1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5" s="4">
        <f>IF(Novembre5[[#This Row],[TPS Cumul (h)]]&gt;0,Novembre5[[#This Row],[Charge Initiale (h)]]*Novembre5[[#This Row],[Prix de revien unitaire(€)]],0)</f>
        <v>476</v>
      </c>
      <c r="L15" s="4">
        <f>Novembre5[[#This Row],[CR (h)]]*Novembre5[[#This Row],[Prix de revien unitaire(€)]]</f>
        <v>340</v>
      </c>
      <c r="M15" s="4">
        <f>Novembre5[[#This Row],[Prix de revien unitaire(€)]]*Novembre5[[#This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Novembre5[[#This Row],[TPS Période(h)]]</f>
        <v>4</v>
      </c>
      <c r="G16" s="18">
        <f>IF(N16="Non",MAX(Novembre5[[#This Row],[Charge Initiale (h)]]-Novembre5[[#This Row],[TPS Cumul (h)]],0),0)</f>
        <v>0</v>
      </c>
      <c r="H16" s="18">
        <f>Novembre5[[#This Row],[TPS Cumul (h)]]+Novembre5[[#This Row],[Reste à passer (h) ]]</f>
        <v>4</v>
      </c>
      <c r="I16" s="18">
        <f>Novembre5[[#This Row],[CR (h)]] - Novembre5[[#This Row],[Charge Initiale (h)]]</f>
        <v>0</v>
      </c>
      <c r="J16" s="18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6" s="4">
        <f>IF(Novembre5[[#This Row],[TPS Cumul (h)]]&gt;0,Novembre5[[#This Row],[Charge Initiale (h)]]*Novembre5[[#This Row],[Prix de revien unitaire(€)]],0)</f>
        <v>272</v>
      </c>
      <c r="L16" s="18">
        <f>Novembre5[[#This Row],[CR (h)]]*Novembre5[[#This Row],[Prix de revien unitaire(€)]]</f>
        <v>272</v>
      </c>
      <c r="M16" s="18">
        <f>Novembre5[[#This Row],[Prix de revien unitaire(€)]]*Novembre5[[#This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Novembre5[[#This Row],[TPS Période(h)]]</f>
        <v>2</v>
      </c>
      <c r="G17" s="4">
        <f>IF(N17="Non",MAX(Novembre5[[#This Row],[Charge Initiale (h)]]-Novembre5[[#This Row],[TPS Cumul (h)]],0),0)</f>
        <v>0</v>
      </c>
      <c r="H17" s="4">
        <f>Novembre5[[#This Row],[TPS Cumul (h)]]+Novembre5[[#This Row],[Reste à passer (h) ]]</f>
        <v>2</v>
      </c>
      <c r="I17" s="4">
        <f>Novembre5[[#This Row],[CR (h)]] - Novembre5[[#This Row],[Charge Initiale (h)]]</f>
        <v>-1</v>
      </c>
      <c r="J1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7" s="4">
        <f>IF(Novembre5[[#This Row],[TPS Cumul (h)]]&gt;0,Novembre5[[#This Row],[Charge Initiale (h)]]*Novembre5[[#This Row],[Prix de revien unitaire(€)]],0)</f>
        <v>204</v>
      </c>
      <c r="L17" s="4">
        <f>Novembre5[[#This Row],[CR (h)]]*Novembre5[[#This Row],[Prix de revien unitaire(€)]]</f>
        <v>136</v>
      </c>
      <c r="M17" s="4">
        <f>Novembre5[[#This Row],[Prix de revien unitaire(€)]]*Novembre5[[#This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Novembre5[[#This Row],[TPS Période(h)]]</f>
        <v>7</v>
      </c>
      <c r="G18" s="4">
        <f>IF(N18="Non",MAX(Novembre5[[#This Row],[Charge Initiale (h)]]-Novembre5[[#This Row],[TPS Cumul (h)]],0),0)</f>
        <v>5</v>
      </c>
      <c r="H18" s="4">
        <f>Novembre5[[#This Row],[TPS Cumul (h)]]+Novembre5[[#This Row],[Reste à passer (h) ]]</f>
        <v>12</v>
      </c>
      <c r="I18" s="4">
        <f>Novembre5[[#This Row],[CR (h)]] - Novembre5[[#This Row],[Charge Initiale (h)]]</f>
        <v>0</v>
      </c>
      <c r="J1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8" s="4">
        <f>IF(Novembre5[[#This Row],[TPS Cumul (h)]]&gt;0,Novembre5[[#This Row],[Charge Initiale (h)]]*Novembre5[[#This Row],[Prix de revien unitaire(€)]],0)</f>
        <v>816</v>
      </c>
      <c r="L18" s="4">
        <f>Novembre5[[#This Row],[CR (h)]]*Novembre5[[#This Row],[Prix de revien unitaire(€)]]</f>
        <v>816</v>
      </c>
      <c r="M18" s="4">
        <f>Novembre5[[#This Row],[Prix de revien unitaire(€)]]*Novembre5[[#This Row],[TPS Cumul (h)]]</f>
        <v>476</v>
      </c>
      <c r="N18" s="1" t="s">
        <v>39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11</v>
      </c>
      <c r="F19" s="4">
        <f>Novembre5[[#This Row],[TPS Période(h)]]</f>
        <v>11</v>
      </c>
      <c r="G19" s="4">
        <f>IF(N19="Non",MAX(Novembre5[[#This Row],[Charge Initiale (h)]]-Novembre5[[#This Row],[TPS Cumul (h)]],0),0)</f>
        <v>2</v>
      </c>
      <c r="H19" s="4">
        <f>Novembre5[[#This Row],[TPS Cumul (h)]]+Novembre5[[#This Row],[Reste à passer (h) ]]</f>
        <v>13</v>
      </c>
      <c r="I19" s="4">
        <f>Novembre5[[#This Row],[CR (h)]] - Novembre5[[#This Row],[Charge Initiale (h)]]</f>
        <v>0</v>
      </c>
      <c r="J1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19" s="4">
        <f>IF(Novembre5[[#This Row],[TPS Cumul (h)]]&gt;0,Novembre5[[#This Row],[Charge Initiale (h)]]*Novembre5[[#This Row],[Prix de revien unitaire(€)]],0)</f>
        <v>884</v>
      </c>
      <c r="L19" s="4">
        <f>Novembre5[[#This Row],[CR (h)]]*Novembre5[[#This Row],[Prix de revien unitaire(€)]]</f>
        <v>884</v>
      </c>
      <c r="M19" s="4">
        <f>Novembre5[[#This Row],[Prix de revien unitaire(€)]]*Novembre5[[#This Row],[TPS Cumul (h)]]</f>
        <v>748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Novembre5[[#This Row],[TPS Période(h)]]</f>
        <v>0</v>
      </c>
      <c r="G20" s="4">
        <f>IF(N20="Non",MAX(Novembre5[[#This Row],[Charge Initiale (h)]]-Novembre5[[#This Row],[TPS Cumul (h)]],0),0)</f>
        <v>3</v>
      </c>
      <c r="H20" s="4">
        <f>Novembre5[[#This Row],[TPS Cumul (h)]]+Novembre5[[#This Row],[Reste à passer (h) ]]</f>
        <v>3</v>
      </c>
      <c r="I20" s="4">
        <f>Novembre5[[#This Row],[CR (h)]] - Novembre5[[#This Row],[Charge Initiale (h)]]</f>
        <v>0</v>
      </c>
      <c r="J2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0" s="4">
        <f>IF(Novembre5[[#This Row],[TPS Cumul (h)]]&gt;0,Novembre5[[#This Row],[Charge Initiale (h)]]*Novembre5[[#This Row],[Prix de revien unitaire(€)]],0)</f>
        <v>0</v>
      </c>
      <c r="L20" s="4">
        <f>Novembre5[[#This Row],[CR (h)]]*Novembre5[[#This Row],[Prix de revien unitaire(€)]]</f>
        <v>204</v>
      </c>
      <c r="M20" s="4">
        <f>Novembre5[[#This Row],[Prix de revien unitaire(€)]]*Novembre5[[#This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Novembre5[[#This Row],[TPS Période(h)]]</f>
        <v>0</v>
      </c>
      <c r="G21" s="4">
        <f>IF(N21="Non",MAX(Novembre5[[#This Row],[Charge Initiale (h)]]-Novembre5[[#This Row],[TPS Cumul (h)]],0),0)</f>
        <v>7</v>
      </c>
      <c r="H21" s="4">
        <f>Novembre5[[#This Row],[TPS Cumul (h)]]+Novembre5[[#This Row],[Reste à passer (h) ]]</f>
        <v>7</v>
      </c>
      <c r="I21" s="4">
        <f>Novembre5[[#This Row],[CR (h)]] - Novembre5[[#This Row],[Charge Initiale (h)]]</f>
        <v>0</v>
      </c>
      <c r="J21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1" s="4">
        <f>IF(Novembre5[[#This Row],[TPS Cumul (h)]]&gt;0,Novembre5[[#This Row],[Charge Initiale (h)]]*Novembre5[[#This Row],[Prix de revien unitaire(€)]],0)</f>
        <v>0</v>
      </c>
      <c r="L21" s="4">
        <f>Novembre5[[#This Row],[CR (h)]]*Novembre5[[#This Row],[Prix de revien unitaire(€)]]</f>
        <v>476</v>
      </c>
      <c r="M21" s="4">
        <f>Novembre5[[#This Row],[Prix de revien unitaire(€)]]*Novembre5[[#This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Novembre5[[#This Row],[TPS Période(h)]]</f>
        <v>3</v>
      </c>
      <c r="G22" s="4">
        <f>IF(N22="Non",MAX(Novembre5[[#This Row],[Charge Initiale (h)]]-Novembre5[[#This Row],[TPS Cumul (h)]],0),0)</f>
        <v>4</v>
      </c>
      <c r="H22" s="4">
        <f>Novembre5[[#This Row],[TPS Cumul (h)]]+Novembre5[[#This Row],[Reste à passer (h) ]]</f>
        <v>7</v>
      </c>
      <c r="I22" s="4">
        <f>Novembre5[[#This Row],[CR (h)]] - Novembre5[[#This Row],[Charge Initiale (h)]]</f>
        <v>0</v>
      </c>
      <c r="J22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2" s="4">
        <f>IF(Novembre5[[#This Row],[TPS Cumul (h)]]&gt;0,Novembre5[[#This Row],[Charge Initiale (h)]]*Novembre5[[#This Row],[Prix de revien unitaire(€)]],0)</f>
        <v>476</v>
      </c>
      <c r="L22" s="4">
        <f>Novembre5[[#This Row],[CR (h)]]*Novembre5[[#This Row],[Prix de revien unitaire(€)]]</f>
        <v>476</v>
      </c>
      <c r="M22" s="4">
        <f>Novembre5[[#This Row],[Prix de revien unitaire(€)]]*Novembre5[[#This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Novembre5[[#This Row],[TPS Période(h)]]</f>
        <v>3</v>
      </c>
      <c r="G23" s="4">
        <f>IF(N23="Non",MAX(Novembre5[[#This Row],[Charge Initiale (h)]]-Novembre5[[#This Row],[TPS Cumul (h)]],0),0)</f>
        <v>0</v>
      </c>
      <c r="H23" s="4">
        <f>Novembre5[[#This Row],[TPS Cumul (h)]]+Novembre5[[#This Row],[Reste à passer (h) ]]</f>
        <v>3</v>
      </c>
      <c r="I23" s="4">
        <f>Novembre5[[#This Row],[CR (h)]] - Novembre5[[#This Row],[Charge Initiale (h)]]</f>
        <v>1</v>
      </c>
      <c r="J23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3" s="4">
        <f>IF(Novembre5[[#This Row],[TPS Cumul (h)]]&gt;0,Novembre5[[#This Row],[Charge Initiale (h)]]*Novembre5[[#This Row],[Prix de revien unitaire(€)]],0)</f>
        <v>136</v>
      </c>
      <c r="L23" s="4">
        <f>Novembre5[[#This Row],[CR (h)]]*Novembre5[[#This Row],[Prix de revien unitaire(€)]]</f>
        <v>204</v>
      </c>
      <c r="M23" s="4">
        <f>Novembre5[[#This Row],[Prix de revien unitaire(€)]]*Novembre5[[#This Row],[TPS Cumul (h)]]</f>
        <v>204</v>
      </c>
      <c r="N23" s="1" t="s">
        <v>39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/>
      <c r="F24" s="4">
        <f>Novembre5[[#This Row],[TPS Période(h)]]</f>
        <v>0</v>
      </c>
      <c r="G24" s="4">
        <f>IF(N24="Non",MAX(Novembre5[[#This Row],[Charge Initiale (h)]]-Novembre5[[#This Row],[TPS Cumul (h)]],0),0)</f>
        <v>2</v>
      </c>
      <c r="H24" s="4">
        <f>Novembre5[[#This Row],[TPS Cumul (h)]]+Novembre5[[#This Row],[Reste à passer (h) ]]</f>
        <v>2</v>
      </c>
      <c r="I24" s="4">
        <f>Novembre5[[#This Row],[CR (h)]] - Novembre5[[#This Row],[Charge Initiale (h)]]</f>
        <v>0</v>
      </c>
      <c r="J24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4" s="4">
        <f>IF(Novembre5[[#This Row],[TPS Cumul (h)]]&gt;0,Novembre5[[#This Row],[Charge Initiale (h)]]*Novembre5[[#This Row],[Prix de revien unitaire(€)]],0)</f>
        <v>0</v>
      </c>
      <c r="L24" s="4">
        <f>Novembre5[[#This Row],[CR (h)]]*Novembre5[[#This Row],[Prix de revien unitaire(€)]]</f>
        <v>136</v>
      </c>
      <c r="M24" s="4">
        <f>Novembre5[[#This Row],[Prix de revien unitaire(€)]]*Novembre5[[#This Row],[TPS Cumul (h)]]</f>
        <v>0</v>
      </c>
      <c r="N24" s="1" t="s">
        <v>39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Novembre5[[#This Row],[TPS Période(h)]]</f>
        <v>0</v>
      </c>
      <c r="G25" s="4">
        <f>IF(N25="Non",MAX(Novembre5[[#This Row],[Charge Initiale (h)]]-Novembre5[[#This Row],[TPS Cumul (h)]],0),0)</f>
        <v>2</v>
      </c>
      <c r="H25" s="4">
        <f>Novembre5[[#This Row],[TPS Cumul (h)]]+Novembre5[[#This Row],[Reste à passer (h) ]]</f>
        <v>2</v>
      </c>
      <c r="I25" s="4">
        <f>Novembre5[[#This Row],[CR (h)]] - Novembre5[[#This Row],[Charge Initiale (h)]]</f>
        <v>0</v>
      </c>
      <c r="J25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5" s="4">
        <f>IF(Novembre5[[#This Row],[TPS Cumul (h)]]&gt;0,Novembre5[[#This Row],[Charge Initiale (h)]]*Novembre5[[#This Row],[Prix de revien unitaire(€)]],0)</f>
        <v>0</v>
      </c>
      <c r="L25" s="4">
        <f>Novembre5[[#This Row],[CR (h)]]*Novembre5[[#This Row],[Prix de revien unitaire(€)]]</f>
        <v>136</v>
      </c>
      <c r="M25" s="4">
        <f>Novembre5[[#This Row],[Prix de revien unitaire(€)]]*Novembre5[[#This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Novembre5[[#This Row],[TPS Période(h)]]</f>
        <v>0</v>
      </c>
      <c r="G26" s="4">
        <f>IF(N26="Non",MAX(Novembre5[[#This Row],[Charge Initiale (h)]]-Novembre5[[#This Row],[TPS Cumul (h)]],0),0)</f>
        <v>10</v>
      </c>
      <c r="H26" s="4">
        <f>Novembre5[[#This Row],[TPS Cumul (h)]]+Novembre5[[#This Row],[Reste à passer (h) ]]</f>
        <v>10</v>
      </c>
      <c r="I26" s="4">
        <f>Novembre5[[#This Row],[CR (h)]] - Novembre5[[#This Row],[Charge Initiale (h)]]</f>
        <v>0</v>
      </c>
      <c r="J26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6" s="4">
        <f>IF(Novembre5[[#This Row],[TPS Cumul (h)]]&gt;0,Novembre5[[#This Row],[Charge Initiale (h)]]*Novembre5[[#This Row],[Prix de revien unitaire(€)]],0)</f>
        <v>0</v>
      </c>
      <c r="L26" s="4">
        <f>Novembre5[[#This Row],[CR (h)]]*Novembre5[[#This Row],[Prix de revien unitaire(€)]]</f>
        <v>680</v>
      </c>
      <c r="M26" s="4">
        <f>Novembre5[[#This Row],[Prix de revien unitaire(€)]]*Novembre5[[#This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Novembre5[[#This Row],[TPS Période(h)]]</f>
        <v>0</v>
      </c>
      <c r="G27" s="4">
        <f>IF(N27="Non",MAX(Novembre5[[#This Row],[Charge Initiale (h)]]-Novembre5[[#This Row],[TPS Cumul (h)]],0),0)</f>
        <v>2</v>
      </c>
      <c r="H27" s="4">
        <f>Novembre5[[#This Row],[TPS Cumul (h)]]+Novembre5[[#This Row],[Reste à passer (h) ]]</f>
        <v>2</v>
      </c>
      <c r="I27" s="4">
        <f>Novembre5[[#This Row],[CR (h)]] - Novembre5[[#This Row],[Charge Initiale (h)]]</f>
        <v>0</v>
      </c>
      <c r="J27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7" s="4">
        <f>IF(Novembre5[[#This Row],[TPS Cumul (h)]]&gt;0,Novembre5[[#This Row],[Charge Initiale (h)]]*Novembre5[[#This Row],[Prix de revien unitaire(€)]],0)</f>
        <v>0</v>
      </c>
      <c r="L27" s="4">
        <f>Novembre5[[#This Row],[CR (h)]]*Novembre5[[#This Row],[Prix de revien unitaire(€)]]</f>
        <v>136</v>
      </c>
      <c r="M27" s="4">
        <f>Novembre5[[#This Row],[Prix de revien unitaire(€)]]*Novembre5[[#This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Novembre5[[#This Row],[TPS Période(h)]]</f>
        <v>0</v>
      </c>
      <c r="G28" s="4">
        <f>IF(N28="Non",MAX(Novembre5[[#This Row],[Charge Initiale (h)]]-Novembre5[[#This Row],[TPS Cumul (h)]],0),0)</f>
        <v>3</v>
      </c>
      <c r="H28" s="4">
        <f>Novembre5[[#This Row],[TPS Cumul (h)]]+Novembre5[[#This Row],[Reste à passer (h) ]]</f>
        <v>3</v>
      </c>
      <c r="I28" s="4">
        <f>Novembre5[[#This Row],[CR (h)]] - Novembre5[[#This Row],[Charge Initiale (h)]]</f>
        <v>0</v>
      </c>
      <c r="J28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8" s="4">
        <f>IF(Novembre5[[#This Row],[TPS Cumul (h)]]&gt;0,Novembre5[[#This Row],[Charge Initiale (h)]]*Novembre5[[#This Row],[Prix de revien unitaire(€)]],0)</f>
        <v>0</v>
      </c>
      <c r="L28" s="4">
        <f>Novembre5[[#This Row],[CR (h)]]*Novembre5[[#This Row],[Prix de revien unitaire(€)]]</f>
        <v>204</v>
      </c>
      <c r="M28" s="4">
        <f>Novembre5[[#This Row],[Prix de revien unitaire(€)]]*Novembre5[[#This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Novembre5[[#This Row],[TPS Période(h)]]</f>
        <v>0</v>
      </c>
      <c r="G29" s="4">
        <f>IF(N29="Non",MAX(Novembre5[[#This Row],[Charge Initiale (h)]]-Novembre5[[#This Row],[TPS Cumul (h)]],0),0)</f>
        <v>0</v>
      </c>
      <c r="H29" s="4">
        <f>Novembre5[[#This Row],[TPS Cumul (h)]]+Novembre5[[#This Row],[Reste à passer (h) ]]</f>
        <v>0</v>
      </c>
      <c r="I29" s="4">
        <f>Novembre5[[#This Row],[CR (h)]] - Novembre5[[#This Row],[Charge Initiale (h)]]</f>
        <v>0</v>
      </c>
      <c r="J29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29" s="4">
        <f>IF(Novembre5[[#This Row],[TPS Cumul (h)]]&gt;0,Novembre5[[#This Row],[Charge Initiale (h)]]*Novembre5[[#This Row],[Prix de revien unitaire(€)]],0)</f>
        <v>0</v>
      </c>
      <c r="L29" s="4">
        <f>Novembre5[[#This Row],[CR (h)]]*Novembre5[[#This Row],[Prix de revien unitaire(€)]]</f>
        <v>0</v>
      </c>
      <c r="M29" s="4">
        <f>Novembre5[[#This Row],[Prix de revien unitaire(€)]]*Novembre5[[#This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Novembre5[[#This Row],[TPS Période(h)]]</f>
        <v>0</v>
      </c>
      <c r="G30" s="4">
        <f>IF(N30="Non",MAX(Novembre5[[#This Row],[Charge Initiale (h)]]-Novembre5[[#This Row],[TPS Cumul (h)]],0),0)</f>
        <v>0</v>
      </c>
      <c r="H30" s="4">
        <f>Novembre5[[#This Row],[TPS Cumul (h)]]+Novembre5[[#This Row],[Reste à passer (h) ]]</f>
        <v>0</v>
      </c>
      <c r="I30" s="4">
        <f>Novembre5[[#This Row],[CR (h)]] - Novembre5[[#This Row],[Charge Initiale (h)]]</f>
        <v>0</v>
      </c>
      <c r="J30" s="4" t="str">
        <f>IF(Novembre5[[#This Row],[Qui]]="Chef de projet","68",IF(Novembre5[[#This Row],[Qui]]="Ingénieur Electronique","32",IF(Novembre5[[#This Row],[Qui]]="Ingénieur qualité","36",IF(Novembre5[[#This Row],[Qui]]="Ingénieur Développement",30,IF(Novembre5[[#This Row],[Qui]]="Ingénieur Mécanique",34,"")))))</f>
        <v>68</v>
      </c>
      <c r="K30" s="4">
        <f>IF(Novembre5[[#This Row],[TPS Cumul (h)]]&gt;0,Novembre5[[#This Row],[Charge Initiale (h)]]*Novembre5[[#This Row],[Prix de revien unitaire(€)]],0)</f>
        <v>0</v>
      </c>
      <c r="L30" s="4">
        <f>Novembre5[[#This Row],[CR (h)]]*Novembre5[[#This Row],[Prix de revien unitaire(€)]]</f>
        <v>0</v>
      </c>
      <c r="M30" s="4">
        <f>Novembre5[[#This Row],[Prix de revien unitaire(€)]]*Novembre5[[#This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SUBTOTAL(109,Novembre5[Charge Initiale (h)])</f>
        <v>120</v>
      </c>
      <c r="E31" s="2">
        <f>SUBTOTAL(109,Novembre5[TPS Période(h)])</f>
        <v>79</v>
      </c>
      <c r="F31" s="2">
        <f>SUBTOTAL(109,Novembre5[TPS Cumul (h)])</f>
        <v>79</v>
      </c>
      <c r="G31" s="2">
        <f>SUBTOTAL(109,Novembre5[Reste à passer (h) ])</f>
        <v>40</v>
      </c>
      <c r="H31" s="2">
        <f>SUBTOTAL(109,Novembre5[CR (h)])</f>
        <v>119</v>
      </c>
      <c r="I31" s="2">
        <f>SUBTOTAL(109,Novembre5[ Ecart de charge (h)])</f>
        <v>-1</v>
      </c>
      <c r="J31" s="2">
        <f>SUBTOTAL(109,Novembre5[Prix de revien unitaire(€)])</f>
        <v>0</v>
      </c>
      <c r="K31" s="2">
        <f>SUBTOTAL(109,Novembre5[Coût Initial (€)])</f>
        <v>6188</v>
      </c>
      <c r="L31" s="1">
        <f>SUBTOTAL(109,Novembre5[Coût Révisé (€)])</f>
        <v>8092</v>
      </c>
      <c r="M31" s="2">
        <f>SUBTOTAL(109,Novembre5[Coût Réel])</f>
        <v>5372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</sheetData>
  <mergeCells count="8">
    <mergeCell ref="A22:A23"/>
    <mergeCell ref="A24:A25"/>
    <mergeCell ref="A28:A30"/>
    <mergeCell ref="A2:A3"/>
    <mergeCell ref="A4:A9"/>
    <mergeCell ref="A10:A13"/>
    <mergeCell ref="A14:A17"/>
    <mergeCell ref="A18:A21"/>
  </mergeCells>
  <conditionalFormatting sqref="B2:B3 D2:D30">
    <cfRule type="expression" dxfId="56" priority="3">
      <formula>$F2&gt;0</formula>
    </cfRule>
  </conditionalFormatting>
  <conditionalFormatting sqref="B4:B9">
    <cfRule type="expression" dxfId="55" priority="5">
      <formula>#REF!&gt;0</formula>
    </cfRule>
  </conditionalFormatting>
  <conditionalFormatting sqref="B6">
    <cfRule type="expression" dxfId="54" priority="6">
      <formula>$F4&gt;0</formula>
    </cfRule>
  </conditionalFormatting>
  <conditionalFormatting sqref="B7:B8">
    <cfRule type="expression" dxfId="53" priority="14">
      <formula>$F12&gt;0</formula>
    </cfRule>
  </conditionalFormatting>
  <conditionalFormatting sqref="B9">
    <cfRule type="expression" dxfId="52" priority="13">
      <formula>$F13&gt;0</formula>
    </cfRule>
  </conditionalFormatting>
  <conditionalFormatting sqref="B11">
    <cfRule type="expression" dxfId="51" priority="8">
      <formula>#REF!&gt;0</formula>
    </cfRule>
  </conditionalFormatting>
  <conditionalFormatting sqref="B12:B13">
    <cfRule type="expression" dxfId="50" priority="7">
      <formula>$F15&gt;0</formula>
    </cfRule>
  </conditionalFormatting>
  <conditionalFormatting sqref="B14:B18">
    <cfRule type="expression" dxfId="49" priority="4">
      <formula>#REF!&gt;0</formula>
    </cfRule>
  </conditionalFormatting>
  <conditionalFormatting sqref="B20:B28">
    <cfRule type="expression" dxfId="48" priority="2">
      <formula>#REF!&gt;0</formula>
    </cfRule>
  </conditionalFormatting>
  <conditionalFormatting sqref="B21 B23:B26 B28 C2:C30 F2:M30">
    <cfRule type="expression" dxfId="47" priority="9">
      <formula>$N2="Oui"</formula>
    </cfRule>
  </conditionalFormatting>
  <conditionalFormatting sqref="B21">
    <cfRule type="expression" dxfId="46" priority="11">
      <formula>$N18="Oui"</formula>
    </cfRule>
    <cfRule type="expression" dxfId="45" priority="12">
      <formula>$F18&gt;0</formula>
    </cfRule>
  </conditionalFormatting>
  <conditionalFormatting sqref="B24:B28">
    <cfRule type="expression" dxfId="44" priority="17">
      <formula>#REF!="Oui"</formula>
    </cfRule>
    <cfRule type="expression" dxfId="43" priority="18">
      <formula>#REF!&gt;0</formula>
    </cfRule>
  </conditionalFormatting>
  <conditionalFormatting sqref="B27">
    <cfRule type="expression" dxfId="42" priority="15">
      <formula>#REF!="Oui"</formula>
    </cfRule>
    <cfRule type="expression" dxfId="41" priority="16">
      <formula>#REF!&gt;0</formula>
    </cfRule>
    <cfRule type="expression" dxfId="40" priority="19">
      <formula>$N29="Oui"</formula>
    </cfRule>
    <cfRule type="expression" dxfId="39" priority="20">
      <formula>$F29&gt;0</formula>
    </cfRule>
    <cfRule type="expression" dxfId="38" priority="21">
      <formula>#REF!="Oui"</formula>
    </cfRule>
    <cfRule type="expression" dxfId="37" priority="22">
      <formula>#REF!&gt;0</formula>
    </cfRule>
  </conditionalFormatting>
  <conditionalFormatting sqref="C2:C30 F2:M30 B21 B23:B26 B28">
    <cfRule type="expression" dxfId="36" priority="10">
      <formula>$F2&gt;0</formula>
    </cfRule>
  </conditionalFormatting>
  <conditionalFormatting sqref="E2:E30">
    <cfRule type="expression" dxfId="35" priority="1">
      <formula>$F2&gt;0</formula>
    </cfRule>
  </conditionalFormatting>
  <dataValidations count="2">
    <dataValidation type="list" allowBlank="1" showInputMessage="1" showErrorMessage="1" sqref="N2:N30" xr:uid="{B19C4305-099F-C04A-AFBB-43DFDA1721AE}">
      <formula1>$N$36:$N$36</formula1>
    </dataValidation>
    <dataValidation type="list" allowBlank="1" showInputMessage="1" showErrorMessage="1" sqref="C2:C30" xr:uid="{9E1BE561-2F2B-944C-8002-687B4C2673B7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2FD-3383-4379-AB40-DA38318C7941}">
  <dimension ref="A1:N40"/>
  <sheetViews>
    <sheetView zoomScale="59" zoomScaleNormal="70" workbookViewId="0">
      <selection activeCell="W16" sqref="W16"/>
    </sheetView>
  </sheetViews>
  <sheetFormatPr baseColWidth="10" defaultColWidth="8.5" defaultRowHeight="15" x14ac:dyDescent="0.2"/>
  <cols>
    <col min="1" max="1" width="18" bestFit="1" customWidth="1"/>
    <col min="2" max="2" width="71.33203125" bestFit="1" customWidth="1"/>
    <col min="3" max="3" width="15.5" bestFit="1" customWidth="1"/>
    <col min="4" max="4" width="16.33203125" bestFit="1" customWidth="1"/>
    <col min="5" max="5" width="13.5" bestFit="1" customWidth="1"/>
    <col min="6" max="6" width="13.1640625" bestFit="1" customWidth="1"/>
    <col min="7" max="7" width="16.33203125" bestFit="1" customWidth="1"/>
    <col min="8" max="8" width="6.33203125" bestFit="1" customWidth="1"/>
    <col min="9" max="9" width="17.1640625" bestFit="1" customWidth="1"/>
    <col min="10" max="10" width="22" bestFit="1" customWidth="1"/>
    <col min="11" max="11" width="12.83203125" bestFit="1" customWidth="1"/>
    <col min="12" max="12" width="13.6640625" bestFit="1" customWidth="1"/>
    <col min="13" max="13" width="9.1640625" bestFit="1" customWidth="1"/>
    <col min="14" max="14" width="14" bestFit="1" customWidth="1"/>
  </cols>
  <sheetData>
    <row r="1" spans="1:14" x14ac:dyDescent="0.2">
      <c r="A1" s="9" t="s">
        <v>23</v>
      </c>
      <c r="B1" s="11" t="s">
        <v>7</v>
      </c>
      <c r="C1" s="11" t="s">
        <v>8</v>
      </c>
      <c r="D1" s="23" t="s">
        <v>69</v>
      </c>
      <c r="E1" s="23" t="s">
        <v>9</v>
      </c>
      <c r="F1" s="23" t="s">
        <v>10</v>
      </c>
      <c r="G1" s="23" t="s">
        <v>70</v>
      </c>
      <c r="H1" s="23" t="s">
        <v>11</v>
      </c>
      <c r="I1" s="23" t="s">
        <v>71</v>
      </c>
      <c r="J1" s="23" t="s">
        <v>72</v>
      </c>
      <c r="K1" s="24" t="s">
        <v>12</v>
      </c>
      <c r="L1" s="24" t="s">
        <v>13</v>
      </c>
      <c r="M1" s="23" t="s">
        <v>14</v>
      </c>
      <c r="N1" s="12" t="s">
        <v>30</v>
      </c>
    </row>
    <row r="2" spans="1:14" x14ac:dyDescent="0.2">
      <c r="A2" s="33" t="s">
        <v>24</v>
      </c>
      <c r="B2" s="8" t="s">
        <v>40</v>
      </c>
      <c r="C2" t="s">
        <v>20</v>
      </c>
      <c r="D2" s="4">
        <v>1</v>
      </c>
      <c r="E2" s="20">
        <v>1</v>
      </c>
      <c r="F2" s="4">
        <f>Novembre6[[#This Row],[TPS Période(h)]]</f>
        <v>1</v>
      </c>
      <c r="G2" s="4">
        <f>IF(N2="Non",MAX(Novembre6[[#This Row],[Charge Initiale (h)]]-Novembre6[[#This Row],[TPS Cumul (h)]],0),0)</f>
        <v>0</v>
      </c>
      <c r="H2" s="4">
        <f>Novembre6[[#This Row],[TPS Cumul (h)]]+Novembre6[[#This Row],[Reste à passer (h) ]]</f>
        <v>1</v>
      </c>
      <c r="I2" s="4">
        <f>Novembre6[[#This Row],[CR (h)]] - Novembre6[[#This Row],[Charge Initiale (h)]]</f>
        <v>0</v>
      </c>
      <c r="J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" s="4">
        <f>IF(Novembre6[[#This Row],[TPS Cumul (h)]]&gt;0,Novembre6[[#This Row],[Charge Initiale (h)]]*Novembre6[[#This Row],[Prix de revien unitaire(€)]],0)</f>
        <v>68</v>
      </c>
      <c r="L2" s="4">
        <f>Novembre6[[#This Row],[CR (h)]]*Novembre6[[#This Row],[Prix de revien unitaire(€)]]</f>
        <v>68</v>
      </c>
      <c r="M2" s="4">
        <f>Novembre6[[#This Row],[Prix de revien unitaire(€)]]*Novembre6[[#This Row],[TPS Cumul (h)]]</f>
        <v>68</v>
      </c>
      <c r="N2" s="1" t="s">
        <v>38</v>
      </c>
    </row>
    <row r="3" spans="1:14" x14ac:dyDescent="0.2">
      <c r="A3" s="42"/>
      <c r="B3" s="8" t="s">
        <v>41</v>
      </c>
      <c r="C3" t="s">
        <v>15</v>
      </c>
      <c r="D3" s="4">
        <v>10</v>
      </c>
      <c r="E3" s="20">
        <v>10</v>
      </c>
      <c r="F3" s="4">
        <f>Novembre6[[#This Row],[TPS Période(h)]]</f>
        <v>10</v>
      </c>
      <c r="G3" s="4">
        <f>IF(N3="Non",MAX(Novembre6[[#This Row],[Charge Initiale (h)]]-Novembre6[[#This Row],[TPS Cumul (h)]],0),0)</f>
        <v>0</v>
      </c>
      <c r="H3" s="4">
        <f>Novembre6[[#This Row],[TPS Cumul (h)]]+Novembre6[[#This Row],[Reste à passer (h) ]]</f>
        <v>10</v>
      </c>
      <c r="I3" s="4">
        <f>Novembre6[[#This Row],[CR (h)]] - Novembre6[[#This Row],[Charge Initiale (h)]]</f>
        <v>0</v>
      </c>
      <c r="J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3" s="4">
        <f>IF(Novembre6[[#This Row],[TPS Cumul (h)]]&gt;0,Novembre6[[#This Row],[Charge Initiale (h)]]*Novembre6[[#This Row],[Prix de revien unitaire(€)]],0)</f>
        <v>680</v>
      </c>
      <c r="L3" s="4">
        <f>Novembre6[[#This Row],[CR (h)]]*Novembre6[[#This Row],[Prix de revien unitaire(€)]]</f>
        <v>680</v>
      </c>
      <c r="M3" s="4">
        <f>Novembre6[[#This Row],[Prix de revien unitaire(€)]]*Novembre6[[#This Row],[TPS Cumul (h)]]</f>
        <v>680</v>
      </c>
      <c r="N3" s="1" t="s">
        <v>38</v>
      </c>
    </row>
    <row r="4" spans="1:14" x14ac:dyDescent="0.2">
      <c r="A4" s="41" t="s">
        <v>16</v>
      </c>
      <c r="B4" s="21" t="s">
        <v>42</v>
      </c>
      <c r="C4" s="13" t="s">
        <v>15</v>
      </c>
      <c r="D4" s="4">
        <v>5</v>
      </c>
      <c r="E4" s="20">
        <v>5</v>
      </c>
      <c r="F4" s="14">
        <f>Novembre6[[#This Row],[TPS Période(h)]]</f>
        <v>5</v>
      </c>
      <c r="G4" s="14">
        <f>IF(N4="Non",MAX(Novembre6[[#This Row],[Charge Initiale (h)]]-Novembre6[[#This Row],[TPS Cumul (h)]],0),0)</f>
        <v>0</v>
      </c>
      <c r="H4" s="14">
        <f>Novembre6[[#This Row],[TPS Cumul (h)]]+Novembre6[[#This Row],[Reste à passer (h) ]]</f>
        <v>5</v>
      </c>
      <c r="I4" s="14">
        <f>Novembre6[[#This Row],[CR (h)]] - Novembre6[[#This Row],[Charge Initiale (h)]]</f>
        <v>0</v>
      </c>
      <c r="J4" s="1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4" s="14">
        <f>IF(Novembre6[[#This Row],[TPS Cumul (h)]]&gt;0,Novembre6[[#This Row],[Charge Initiale (h)]]*Novembre6[[#This Row],[Prix de revien unitaire(€)]],0)</f>
        <v>340</v>
      </c>
      <c r="L4" s="14">
        <f>Novembre6[[#This Row],[CR (h)]]*Novembre6[[#This Row],[Prix de revien unitaire(€)]]</f>
        <v>340</v>
      </c>
      <c r="M4" s="14">
        <f>Novembre6[[#This Row],[Prix de revien unitaire(€)]]*Novembre6[[#This Row],[TPS Cumul (h)]]</f>
        <v>340</v>
      </c>
      <c r="N4" s="1" t="s">
        <v>38</v>
      </c>
    </row>
    <row r="5" spans="1:14" x14ac:dyDescent="0.2">
      <c r="A5" s="41"/>
      <c r="B5" s="8" t="s">
        <v>43</v>
      </c>
      <c r="C5" t="s">
        <v>15</v>
      </c>
      <c r="D5" s="4">
        <v>1</v>
      </c>
      <c r="E5" s="4">
        <v>1</v>
      </c>
      <c r="F5" s="4">
        <f>Novembre6[[#This Row],[TPS Période(h)]]</f>
        <v>1</v>
      </c>
      <c r="G5" s="4">
        <f>IF(N5="Non",MAX(Novembre6[[#This Row],[Charge Initiale (h)]]-Novembre6[[#This Row],[TPS Cumul (h)]],0),0)</f>
        <v>0</v>
      </c>
      <c r="H5" s="4">
        <f>Novembre6[[#This Row],[TPS Cumul (h)]]+Novembre6[[#This Row],[Reste à passer (h) ]]</f>
        <v>1</v>
      </c>
      <c r="I5" s="4">
        <f>Novembre6[[#This Row],[CR (h)]] - Novembre6[[#This Row],[Charge Initiale (h)]]</f>
        <v>0</v>
      </c>
      <c r="J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5" s="4">
        <f>IF(Novembre6[[#This Row],[TPS Cumul (h)]]&gt;0,Novembre6[[#This Row],[Charge Initiale (h)]]*Novembre6[[#This Row],[Prix de revien unitaire(€)]],0)</f>
        <v>68</v>
      </c>
      <c r="L5" s="4">
        <f>Novembre6[[#This Row],[CR (h)]]*Novembre6[[#This Row],[Prix de revien unitaire(€)]]</f>
        <v>68</v>
      </c>
      <c r="M5" s="4">
        <f>Novembre6[[#This Row],[Prix de revien unitaire(€)]]*Novembre6[[#This Row],[TPS Cumul (h)]]</f>
        <v>68</v>
      </c>
      <c r="N5" s="1" t="s">
        <v>38</v>
      </c>
    </row>
    <row r="6" spans="1:14" x14ac:dyDescent="0.2">
      <c r="A6" s="41"/>
      <c r="B6" s="8" t="s">
        <v>44</v>
      </c>
      <c r="C6" t="s">
        <v>15</v>
      </c>
      <c r="D6" s="4">
        <v>2</v>
      </c>
      <c r="E6" s="4">
        <v>2</v>
      </c>
      <c r="F6" s="4">
        <f>Novembre6[[#This Row],[TPS Période(h)]]</f>
        <v>2</v>
      </c>
      <c r="G6" s="4">
        <f>IF(N6="Non",MAX(Novembre6[[#This Row],[Charge Initiale (h)]]-Novembre6[[#This Row],[TPS Cumul (h)]],0),0)</f>
        <v>0</v>
      </c>
      <c r="H6" s="4">
        <f>Novembre6[[#This Row],[TPS Cumul (h)]]+Novembre6[[#This Row],[Reste à passer (h) ]]</f>
        <v>2</v>
      </c>
      <c r="I6" s="4">
        <f>Novembre6[[#This Row],[CR (h)]] - Novembre6[[#This Row],[Charge Initiale (h)]]</f>
        <v>0</v>
      </c>
      <c r="J6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6" s="4">
        <f>IF(Novembre6[[#This Row],[TPS Cumul (h)]]&gt;0,Novembre6[[#This Row],[Charge Initiale (h)]]*Novembre6[[#This Row],[Prix de revien unitaire(€)]],0)</f>
        <v>136</v>
      </c>
      <c r="L6" s="4">
        <f>Novembre6[[#This Row],[CR (h)]]*Novembre6[[#This Row],[Prix de revien unitaire(€)]]</f>
        <v>136</v>
      </c>
      <c r="M6" s="4">
        <f>Novembre6[[#This Row],[Prix de revien unitaire(€)]]*Novembre6[[#This Row],[TPS Cumul (h)]]</f>
        <v>136</v>
      </c>
      <c r="N6" s="1" t="s">
        <v>38</v>
      </c>
    </row>
    <row r="7" spans="1:14" x14ac:dyDescent="0.2">
      <c r="A7" s="41"/>
      <c r="B7" s="8" t="s">
        <v>45</v>
      </c>
      <c r="C7" t="s">
        <v>15</v>
      </c>
      <c r="D7" s="4">
        <v>2</v>
      </c>
      <c r="E7" s="4">
        <v>2</v>
      </c>
      <c r="F7" s="4">
        <f>Novembre6[[#This Row],[TPS Période(h)]]</f>
        <v>2</v>
      </c>
      <c r="G7" s="4">
        <f>IF(N7="Non",MAX(Novembre6[[#This Row],[Charge Initiale (h)]]-Novembre6[[#This Row],[TPS Cumul (h)]],0),0)</f>
        <v>0</v>
      </c>
      <c r="H7" s="4">
        <f>Novembre6[[#This Row],[TPS Cumul (h)]]+Novembre6[[#This Row],[Reste à passer (h) ]]</f>
        <v>2</v>
      </c>
      <c r="I7" s="4">
        <f>Novembre6[[#This Row],[CR (h)]] - Novembre6[[#This Row],[Charge Initiale (h)]]</f>
        <v>0</v>
      </c>
      <c r="J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7" s="4">
        <f>IF(Novembre6[[#This Row],[TPS Cumul (h)]]&gt;0,Novembre6[[#This Row],[Charge Initiale (h)]]*Novembre6[[#This Row],[Prix de revien unitaire(€)]],0)</f>
        <v>136</v>
      </c>
      <c r="L7" s="4">
        <f>Novembre6[[#This Row],[CR (h)]]*Novembre6[[#This Row],[Prix de revien unitaire(€)]]</f>
        <v>136</v>
      </c>
      <c r="M7" s="4">
        <f>Novembre6[[#This Row],[Prix de revien unitaire(€)]]*Novembre6[[#This Row],[TPS Cumul (h)]]</f>
        <v>136</v>
      </c>
      <c r="N7" s="1" t="s">
        <v>38</v>
      </c>
    </row>
    <row r="8" spans="1:14" x14ac:dyDescent="0.2">
      <c r="A8" s="41"/>
      <c r="B8" s="8" t="s">
        <v>46</v>
      </c>
      <c r="C8" t="s">
        <v>15</v>
      </c>
      <c r="D8" s="4">
        <v>2</v>
      </c>
      <c r="E8" s="4">
        <v>2</v>
      </c>
      <c r="F8" s="4">
        <f>Novembre6[[#This Row],[TPS Période(h)]]</f>
        <v>2</v>
      </c>
      <c r="G8" s="4">
        <f>IF(N8="Non",MAX(Novembre6[[#This Row],[Charge Initiale (h)]]-Novembre6[[#This Row],[TPS Cumul (h)]],0),0)</f>
        <v>0</v>
      </c>
      <c r="H8" s="4">
        <f>Novembre6[[#This Row],[TPS Cumul (h)]]+Novembre6[[#This Row],[Reste à passer (h) ]]</f>
        <v>2</v>
      </c>
      <c r="I8" s="4">
        <f>Novembre6[[#This Row],[CR (h)]] - Novembre6[[#This Row],[Charge Initiale (h)]]</f>
        <v>0</v>
      </c>
      <c r="J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8" s="4">
        <f>IF(Novembre6[[#This Row],[TPS Cumul (h)]]&gt;0,Novembre6[[#This Row],[Charge Initiale (h)]]*Novembre6[[#This Row],[Prix de revien unitaire(€)]],0)</f>
        <v>136</v>
      </c>
      <c r="L8" s="4">
        <f>Novembre6[[#This Row],[CR (h)]]*Novembre6[[#This Row],[Prix de revien unitaire(€)]]</f>
        <v>136</v>
      </c>
      <c r="M8" s="4">
        <f>Novembre6[[#This Row],[Prix de revien unitaire(€)]]*Novembre6[[#This Row],[TPS Cumul (h)]]</f>
        <v>136</v>
      </c>
      <c r="N8" s="1" t="s">
        <v>38</v>
      </c>
    </row>
    <row r="9" spans="1:14" x14ac:dyDescent="0.2">
      <c r="A9" s="41"/>
      <c r="B9" s="8" t="s">
        <v>47</v>
      </c>
      <c r="C9" t="s">
        <v>15</v>
      </c>
      <c r="D9" s="4">
        <v>2</v>
      </c>
      <c r="E9" s="4">
        <v>2</v>
      </c>
      <c r="F9" s="4">
        <f>Novembre6[[#This Row],[TPS Période(h)]]</f>
        <v>2</v>
      </c>
      <c r="G9" s="4">
        <f>IF(N9="Non",MAX(Novembre6[[#This Row],[Charge Initiale (h)]]-Novembre6[[#This Row],[TPS Cumul (h)]],0),0)</f>
        <v>0</v>
      </c>
      <c r="H9" s="4">
        <f>Novembre6[[#This Row],[TPS Cumul (h)]]+Novembre6[[#This Row],[Reste à passer (h) ]]</f>
        <v>2</v>
      </c>
      <c r="I9" s="4">
        <f>Novembre6[[#This Row],[CR (h)]] - Novembre6[[#This Row],[Charge Initiale (h)]]</f>
        <v>0</v>
      </c>
      <c r="J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9" s="4">
        <f>IF(Novembre6[[#This Row],[TPS Cumul (h)]]&gt;0,Novembre6[[#This Row],[Charge Initiale (h)]]*Novembre6[[#This Row],[Prix de revien unitaire(€)]],0)</f>
        <v>136</v>
      </c>
      <c r="L9" s="4">
        <f>Novembre6[[#This Row],[CR (h)]]*Novembre6[[#This Row],[Prix de revien unitaire(€)]]</f>
        <v>136</v>
      </c>
      <c r="M9" s="4">
        <f>Novembre6[[#This Row],[Prix de revien unitaire(€)]]*Novembre6[[#This Row],[TPS Cumul (h)]]</f>
        <v>136</v>
      </c>
      <c r="N9" s="1" t="s">
        <v>38</v>
      </c>
    </row>
    <row r="10" spans="1:14" x14ac:dyDescent="0.2">
      <c r="A10" s="37" t="s">
        <v>25</v>
      </c>
      <c r="B10" s="3" t="s">
        <v>66</v>
      </c>
      <c r="C10" t="s">
        <v>15</v>
      </c>
      <c r="D10" s="4">
        <v>4</v>
      </c>
      <c r="E10" s="4">
        <v>6</v>
      </c>
      <c r="F10" s="4">
        <f>Novembre6[[#This Row],[TPS Période(h)]]</f>
        <v>6</v>
      </c>
      <c r="G10" s="4">
        <f>IF(N10="Non",MAX(Novembre6[[#This Row],[Charge Initiale (h)]]-Novembre6[[#This Row],[TPS Cumul (h)]],0),0)</f>
        <v>0</v>
      </c>
      <c r="H10" s="4">
        <f>Novembre6[[#This Row],[TPS Cumul (h)]]+Novembre6[[#This Row],[Reste à passer (h) ]]</f>
        <v>6</v>
      </c>
      <c r="I10" s="4">
        <f>Novembre6[[#This Row],[CR (h)]] - Novembre6[[#This Row],[Charge Initiale (h)]]</f>
        <v>2</v>
      </c>
      <c r="J1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0" s="4">
        <f>IF(Novembre6[[#This Row],[TPS Cumul (h)]]&gt;0,Novembre6[[#This Row],[Charge Initiale (h)]]*Novembre6[[#This Row],[Prix de revien unitaire(€)]],0)</f>
        <v>272</v>
      </c>
      <c r="L10" s="4">
        <f>Novembre6[[#This Row],[CR (h)]]*Novembre6[[#This Row],[Prix de revien unitaire(€)]]</f>
        <v>408</v>
      </c>
      <c r="M10" s="4">
        <f>Novembre6[[#This Row],[Prix de revien unitaire(€)]]*Novembre6[[#This Row],[TPS Cumul (h)]]</f>
        <v>408</v>
      </c>
      <c r="N10" s="1" t="s">
        <v>38</v>
      </c>
    </row>
    <row r="11" spans="1:14" x14ac:dyDescent="0.2">
      <c r="A11" s="38"/>
      <c r="B11" s="3" t="s">
        <v>65</v>
      </c>
      <c r="C11" t="s">
        <v>15</v>
      </c>
      <c r="D11" s="4">
        <v>4</v>
      </c>
      <c r="E11" s="4">
        <v>3</v>
      </c>
      <c r="F11" s="4">
        <f>Novembre6[[#This Row],[TPS Période(h)]]</f>
        <v>3</v>
      </c>
      <c r="G11" s="4">
        <f>IF(N11="Non",MAX(Novembre6[[#This Row],[Charge Initiale (h)]]-Novembre6[[#This Row],[TPS Cumul (h)]],0),0)</f>
        <v>0</v>
      </c>
      <c r="H11" s="4">
        <f>Novembre6[[#This Row],[TPS Cumul (h)]]+Novembre6[[#This Row],[Reste à passer (h) ]]</f>
        <v>3</v>
      </c>
      <c r="I11" s="4">
        <f>Novembre6[[#This Row],[CR (h)]] - Novembre6[[#This Row],[Charge Initiale (h)]]</f>
        <v>-1</v>
      </c>
      <c r="J11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1" s="4">
        <f>IF(Novembre6[[#This Row],[TPS Cumul (h)]]&gt;0,Novembre6[[#This Row],[Charge Initiale (h)]]*Novembre6[[#This Row],[Prix de revien unitaire(€)]],0)</f>
        <v>272</v>
      </c>
      <c r="L11" s="4">
        <f>Novembre6[[#This Row],[CR (h)]]*Novembre6[[#This Row],[Prix de revien unitaire(€)]]</f>
        <v>204</v>
      </c>
      <c r="M11" s="4">
        <f>Novembre6[[#This Row],[Prix de revien unitaire(€)]]*Novembre6[[#This Row],[TPS Cumul (h)]]</f>
        <v>204</v>
      </c>
      <c r="N11" s="1" t="s">
        <v>38</v>
      </c>
    </row>
    <row r="12" spans="1:14" x14ac:dyDescent="0.2">
      <c r="A12" s="38"/>
      <c r="B12" s="3" t="s">
        <v>48</v>
      </c>
      <c r="C12" t="s">
        <v>15</v>
      </c>
      <c r="D12" s="4">
        <v>1</v>
      </c>
      <c r="E12" s="4">
        <v>3</v>
      </c>
      <c r="F12" s="4">
        <f>Novembre6[[#This Row],[TPS Période(h)]]</f>
        <v>3</v>
      </c>
      <c r="G12" s="4">
        <f>IF(N12="Non",MAX(Novembre6[[#This Row],[Charge Initiale (h)]]-Novembre6[[#This Row],[TPS Cumul (h)]],0),0)</f>
        <v>0</v>
      </c>
      <c r="H12" s="4">
        <f>Novembre6[[#This Row],[TPS Cumul (h)]]+Novembre6[[#This Row],[Reste à passer (h) ]]</f>
        <v>3</v>
      </c>
      <c r="I12" s="4">
        <f>Novembre6[[#This Row],[CR (h)]] - Novembre6[[#This Row],[Charge Initiale (h)]]</f>
        <v>2</v>
      </c>
      <c r="J1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2" s="4">
        <f>IF(Novembre6[[#This Row],[TPS Cumul (h)]]&gt;0,Novembre6[[#This Row],[Charge Initiale (h)]]*Novembre6[[#This Row],[Prix de revien unitaire(€)]],0)</f>
        <v>68</v>
      </c>
      <c r="L12" s="4">
        <f>Novembre6[[#This Row],[CR (h)]]*Novembre6[[#This Row],[Prix de revien unitaire(€)]]</f>
        <v>204</v>
      </c>
      <c r="M12" s="4">
        <f>Novembre6[[#This Row],[Prix de revien unitaire(€)]]*Novembre6[[#This Row],[TPS Cumul (h)]]</f>
        <v>204</v>
      </c>
      <c r="N12" s="1" t="s">
        <v>38</v>
      </c>
    </row>
    <row r="13" spans="1:14" x14ac:dyDescent="0.2">
      <c r="A13" s="38"/>
      <c r="B13" s="3" t="s">
        <v>49</v>
      </c>
      <c r="C13" t="s">
        <v>15</v>
      </c>
      <c r="D13" s="4">
        <v>2</v>
      </c>
      <c r="E13" s="4">
        <v>1</v>
      </c>
      <c r="F13" s="4">
        <f>Novembre6[[#This Row],[TPS Période(h)]]</f>
        <v>1</v>
      </c>
      <c r="G13" s="4">
        <f>IF(N13="Non",MAX(Novembre6[[#This Row],[Charge Initiale (h)]]-Novembre6[[#This Row],[TPS Cumul (h)]],0),0)</f>
        <v>0</v>
      </c>
      <c r="H13" s="4">
        <f>Novembre6[[#This Row],[TPS Cumul (h)]]+Novembre6[[#This Row],[Reste à passer (h) ]]</f>
        <v>1</v>
      </c>
      <c r="I13" s="4">
        <f>Novembre6[[#This Row],[CR (h)]] - Novembre6[[#This Row],[Charge Initiale (h)]]</f>
        <v>-1</v>
      </c>
      <c r="J1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3" s="4">
        <f>IF(Novembre6[[#This Row],[TPS Cumul (h)]]&gt;0,Novembre6[[#This Row],[Charge Initiale (h)]]*Novembre6[[#This Row],[Prix de revien unitaire(€)]],0)</f>
        <v>136</v>
      </c>
      <c r="L13" s="4">
        <f>Novembre6[[#This Row],[CR (h)]]*Novembre6[[#This Row],[Prix de revien unitaire(€)]]</f>
        <v>68</v>
      </c>
      <c r="M13" s="4">
        <f>Novembre6[[#This Row],[Prix de revien unitaire(€)]]*Novembre6[[#This Row],[TPS Cumul (h)]]</f>
        <v>68</v>
      </c>
      <c r="N13" s="1" t="s">
        <v>38</v>
      </c>
    </row>
    <row r="14" spans="1:14" x14ac:dyDescent="0.2">
      <c r="A14" s="34" t="s">
        <v>26</v>
      </c>
      <c r="B14" s="3" t="s">
        <v>68</v>
      </c>
      <c r="C14" t="s">
        <v>15</v>
      </c>
      <c r="D14" s="4">
        <v>7</v>
      </c>
      <c r="E14" s="4">
        <v>6</v>
      </c>
      <c r="F14" s="4">
        <f>Novembre6[[#This Row],[TPS Période(h)]]</f>
        <v>6</v>
      </c>
      <c r="G14" s="4">
        <f>IF(N14="Non",MAX(Novembre6[[#This Row],[Charge Initiale (h)]]-Novembre6[[#This Row],[TPS Cumul (h)]],0),0)</f>
        <v>0</v>
      </c>
      <c r="H14" s="4">
        <f>Novembre6[[#This Row],[TPS Cumul (h)]]+Novembre6[[#This Row],[Reste à passer (h) ]]</f>
        <v>6</v>
      </c>
      <c r="I14" s="4">
        <f>Novembre6[[#This Row],[CR (h)]] - Novembre6[[#This Row],[Charge Initiale (h)]]</f>
        <v>-1</v>
      </c>
      <c r="J14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4" s="4">
        <f>IF(Novembre6[[#This Row],[TPS Cumul (h)]]&gt;0,Novembre6[[#This Row],[Charge Initiale (h)]]*Novembre6[[#This Row],[Prix de revien unitaire(€)]],0)</f>
        <v>476</v>
      </c>
      <c r="L14" s="4">
        <f>Novembre6[[#This Row],[CR (h)]]*Novembre6[[#This Row],[Prix de revien unitaire(€)]]</f>
        <v>408</v>
      </c>
      <c r="M14" s="4">
        <f>Novembre6[[#This Row],[Prix de revien unitaire(€)]]*Novembre6[[#This Row],[TPS Cumul (h)]]</f>
        <v>408</v>
      </c>
      <c r="N14" s="1" t="s">
        <v>38</v>
      </c>
    </row>
    <row r="15" spans="1:14" x14ac:dyDescent="0.2">
      <c r="A15" s="34"/>
      <c r="B15" s="3" t="s">
        <v>67</v>
      </c>
      <c r="C15" t="s">
        <v>15</v>
      </c>
      <c r="D15" s="4">
        <v>7</v>
      </c>
      <c r="E15" s="18">
        <v>5</v>
      </c>
      <c r="F15" s="4">
        <f>Novembre6[[#This Row],[TPS Période(h)]]</f>
        <v>5</v>
      </c>
      <c r="G15" s="4">
        <f>IF(N15="Non",MAX(Novembre6[[#This Row],[Charge Initiale (h)]]-Novembre6[[#This Row],[TPS Cumul (h)]],0),0)</f>
        <v>0</v>
      </c>
      <c r="H15" s="4">
        <f>Novembre6[[#This Row],[TPS Cumul (h)]]+Novembre6[[#This Row],[Reste à passer (h) ]]</f>
        <v>5</v>
      </c>
      <c r="I15" s="4">
        <f>Novembre6[[#This Row],[CR (h)]] - Novembre6[[#This Row],[Charge Initiale (h)]]</f>
        <v>-2</v>
      </c>
      <c r="J1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5" s="4">
        <f>IF(Novembre6[[#This Row],[TPS Cumul (h)]]&gt;0,Novembre6[[#This Row],[Charge Initiale (h)]]*Novembre6[[#This Row],[Prix de revien unitaire(€)]],0)</f>
        <v>476</v>
      </c>
      <c r="L15" s="4">
        <f>Novembre6[[#This Row],[CR (h)]]*Novembre6[[#This Row],[Prix de revien unitaire(€)]]</f>
        <v>340</v>
      </c>
      <c r="M15" s="4">
        <f>Novembre6[[#This Row],[Prix de revien unitaire(€)]]*Novembre6[[#This Row],[TPS Cumul (h)]]</f>
        <v>340</v>
      </c>
      <c r="N15" s="1" t="s">
        <v>38</v>
      </c>
    </row>
    <row r="16" spans="1:14" x14ac:dyDescent="0.2">
      <c r="A16" s="34"/>
      <c r="B16" s="3" t="s">
        <v>50</v>
      </c>
      <c r="C16" t="s">
        <v>15</v>
      </c>
      <c r="D16" s="18">
        <v>4</v>
      </c>
      <c r="E16" s="4">
        <v>4</v>
      </c>
      <c r="F16" s="18">
        <f>Novembre6[[#This Row],[TPS Période(h)]]</f>
        <v>4</v>
      </c>
      <c r="G16" s="18">
        <f>IF(N16="Non",MAX(Novembre6[[#This Row],[Charge Initiale (h)]]-Novembre6[[#This Row],[TPS Cumul (h)]],0),0)</f>
        <v>0</v>
      </c>
      <c r="H16" s="18">
        <f>Novembre6[[#This Row],[TPS Cumul (h)]]+Novembre6[[#This Row],[Reste à passer (h) ]]</f>
        <v>4</v>
      </c>
      <c r="I16" s="18">
        <f>Novembre6[[#This Row],[CR (h)]] - Novembre6[[#This Row],[Charge Initiale (h)]]</f>
        <v>0</v>
      </c>
      <c r="J16" s="18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6" s="4">
        <f>IF(Novembre6[[#This Row],[TPS Cumul (h)]]&gt;0,Novembre6[[#This Row],[Charge Initiale (h)]]*Novembre6[[#This Row],[Prix de revien unitaire(€)]],0)</f>
        <v>272</v>
      </c>
      <c r="L16" s="18">
        <f>Novembre6[[#This Row],[CR (h)]]*Novembre6[[#This Row],[Prix de revien unitaire(€)]]</f>
        <v>272</v>
      </c>
      <c r="M16" s="18">
        <f>Novembre6[[#This Row],[Prix de revien unitaire(€)]]*Novembre6[[#This Row],[TPS Cumul (h)]]</f>
        <v>272</v>
      </c>
      <c r="N16" s="1" t="s">
        <v>38</v>
      </c>
    </row>
    <row r="17" spans="1:14" x14ac:dyDescent="0.2">
      <c r="A17" s="34"/>
      <c r="B17" s="3" t="s">
        <v>51</v>
      </c>
      <c r="C17" t="s">
        <v>15</v>
      </c>
      <c r="D17" s="4">
        <v>3</v>
      </c>
      <c r="E17" s="4">
        <v>2</v>
      </c>
      <c r="F17" s="4">
        <f>Novembre6[[#This Row],[TPS Période(h)]]</f>
        <v>2</v>
      </c>
      <c r="G17" s="4">
        <f>IF(N17="Non",MAX(Novembre6[[#This Row],[Charge Initiale (h)]]-Novembre6[[#This Row],[TPS Cumul (h)]],0),0)</f>
        <v>0</v>
      </c>
      <c r="H17" s="4">
        <f>Novembre6[[#This Row],[TPS Cumul (h)]]+Novembre6[[#This Row],[Reste à passer (h) ]]</f>
        <v>2</v>
      </c>
      <c r="I17" s="4">
        <f>Novembre6[[#This Row],[CR (h)]] - Novembre6[[#This Row],[Charge Initiale (h)]]</f>
        <v>-1</v>
      </c>
      <c r="J1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7" s="4">
        <f>IF(Novembre6[[#This Row],[TPS Cumul (h)]]&gt;0,Novembre6[[#This Row],[Charge Initiale (h)]]*Novembre6[[#This Row],[Prix de revien unitaire(€)]],0)</f>
        <v>204</v>
      </c>
      <c r="L17" s="4">
        <f>Novembre6[[#This Row],[CR (h)]]*Novembre6[[#This Row],[Prix de revien unitaire(€)]]</f>
        <v>136</v>
      </c>
      <c r="M17" s="4">
        <f>Novembre6[[#This Row],[Prix de revien unitaire(€)]]*Novembre6[[#This Row],[TPS Cumul (h)]]</f>
        <v>136</v>
      </c>
      <c r="N17" s="1" t="s">
        <v>38</v>
      </c>
    </row>
    <row r="18" spans="1:14" x14ac:dyDescent="0.2">
      <c r="A18" s="43" t="s">
        <v>27</v>
      </c>
      <c r="B18" s="3" t="s">
        <v>52</v>
      </c>
      <c r="C18" t="s">
        <v>15</v>
      </c>
      <c r="D18" s="4">
        <v>12</v>
      </c>
      <c r="E18" s="4">
        <v>7</v>
      </c>
      <c r="F18" s="4">
        <f>Novembre6[[#This Row],[TPS Période(h)]]</f>
        <v>7</v>
      </c>
      <c r="G18" s="4">
        <f>IF(N18="Non",MAX(Novembre6[[#This Row],[Charge Initiale (h)]]-Novembre6[[#This Row],[TPS Cumul (h)]],0),0)</f>
        <v>5</v>
      </c>
      <c r="H18" s="4">
        <f>Novembre6[[#This Row],[TPS Cumul (h)]]+Novembre6[[#This Row],[Reste à passer (h) ]]</f>
        <v>12</v>
      </c>
      <c r="I18" s="4">
        <f>Novembre6[[#This Row],[CR (h)]] - Novembre6[[#This Row],[Charge Initiale (h)]]</f>
        <v>0</v>
      </c>
      <c r="J1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8" s="4">
        <f>IF(Novembre6[[#This Row],[TPS Cumul (h)]]&gt;0,Novembre6[[#This Row],[Charge Initiale (h)]]*Novembre6[[#This Row],[Prix de revien unitaire(€)]],0)</f>
        <v>816</v>
      </c>
      <c r="L18" s="4">
        <f>Novembre6[[#This Row],[CR (h)]]*Novembre6[[#This Row],[Prix de revien unitaire(€)]]</f>
        <v>816</v>
      </c>
      <c r="M18" s="4">
        <f>Novembre6[[#This Row],[Prix de revien unitaire(€)]]*Novembre6[[#This Row],[TPS Cumul (h)]]</f>
        <v>476</v>
      </c>
      <c r="N18" s="1" t="s">
        <v>39</v>
      </c>
    </row>
    <row r="19" spans="1:14" x14ac:dyDescent="0.2">
      <c r="A19" s="44"/>
      <c r="B19" s="3" t="s">
        <v>53</v>
      </c>
      <c r="C19" t="s">
        <v>15</v>
      </c>
      <c r="D19" s="4">
        <v>13</v>
      </c>
      <c r="E19" s="4">
        <v>11</v>
      </c>
      <c r="F19" s="4">
        <f>Novembre6[[#This Row],[TPS Période(h)]]</f>
        <v>11</v>
      </c>
      <c r="G19" s="4">
        <f>IF(N19="Non",MAX(Novembre6[[#This Row],[Charge Initiale (h)]]-Novembre6[[#This Row],[TPS Cumul (h)]],0),0)</f>
        <v>2</v>
      </c>
      <c r="H19" s="4">
        <f>Novembre6[[#This Row],[TPS Cumul (h)]]+Novembre6[[#This Row],[Reste à passer (h) ]]</f>
        <v>13</v>
      </c>
      <c r="I19" s="4">
        <f>Novembre6[[#This Row],[CR (h)]] - Novembre6[[#This Row],[Charge Initiale (h)]]</f>
        <v>0</v>
      </c>
      <c r="J1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19" s="4">
        <f>IF(Novembre6[[#This Row],[TPS Cumul (h)]]&gt;0,Novembre6[[#This Row],[Charge Initiale (h)]]*Novembre6[[#This Row],[Prix de revien unitaire(€)]],0)</f>
        <v>884</v>
      </c>
      <c r="L19" s="4">
        <f>Novembre6[[#This Row],[CR (h)]]*Novembre6[[#This Row],[Prix de revien unitaire(€)]]</f>
        <v>884</v>
      </c>
      <c r="M19" s="4">
        <f>Novembre6[[#This Row],[Prix de revien unitaire(€)]]*Novembre6[[#This Row],[TPS Cumul (h)]]</f>
        <v>748</v>
      </c>
      <c r="N19" s="1" t="s">
        <v>39</v>
      </c>
    </row>
    <row r="20" spans="1:14" x14ac:dyDescent="0.2">
      <c r="A20" s="44"/>
      <c r="B20" s="3" t="s">
        <v>54</v>
      </c>
      <c r="C20" t="s">
        <v>15</v>
      </c>
      <c r="D20" s="4">
        <v>3</v>
      </c>
      <c r="E20" s="4"/>
      <c r="F20" s="4">
        <f>Novembre6[[#This Row],[TPS Période(h)]]</f>
        <v>0</v>
      </c>
      <c r="G20" s="4">
        <f>IF(N20="Non",MAX(Novembre6[[#This Row],[Charge Initiale (h)]]-Novembre6[[#This Row],[TPS Cumul (h)]],0),0)</f>
        <v>3</v>
      </c>
      <c r="H20" s="4">
        <f>Novembre6[[#This Row],[TPS Cumul (h)]]+Novembre6[[#This Row],[Reste à passer (h) ]]</f>
        <v>3</v>
      </c>
      <c r="I20" s="4">
        <f>Novembre6[[#This Row],[CR (h)]] - Novembre6[[#This Row],[Charge Initiale (h)]]</f>
        <v>0</v>
      </c>
      <c r="J2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0" s="4">
        <f>IF(Novembre6[[#This Row],[TPS Cumul (h)]]&gt;0,Novembre6[[#This Row],[Charge Initiale (h)]]*Novembre6[[#This Row],[Prix de revien unitaire(€)]],0)</f>
        <v>0</v>
      </c>
      <c r="L20" s="4">
        <f>Novembre6[[#This Row],[CR (h)]]*Novembre6[[#This Row],[Prix de revien unitaire(€)]]</f>
        <v>204</v>
      </c>
      <c r="M20" s="4">
        <f>Novembre6[[#This Row],[Prix de revien unitaire(€)]]*Novembre6[[#This Row],[TPS Cumul (h)]]</f>
        <v>0</v>
      </c>
      <c r="N20" s="1" t="s">
        <v>39</v>
      </c>
    </row>
    <row r="21" spans="1:14" x14ac:dyDescent="0.2">
      <c r="A21" s="44"/>
      <c r="B21" s="3" t="s">
        <v>62</v>
      </c>
      <c r="C21" t="s">
        <v>15</v>
      </c>
      <c r="D21" s="4">
        <v>7</v>
      </c>
      <c r="E21" s="4"/>
      <c r="F21" s="4">
        <f>Novembre6[[#This Row],[TPS Période(h)]]</f>
        <v>0</v>
      </c>
      <c r="G21" s="4">
        <f>IF(N21="Non",MAX(Novembre6[[#This Row],[Charge Initiale (h)]]-Novembre6[[#This Row],[TPS Cumul (h)]],0),0)</f>
        <v>7</v>
      </c>
      <c r="H21" s="4">
        <f>Novembre6[[#This Row],[TPS Cumul (h)]]+Novembre6[[#This Row],[Reste à passer (h) ]]</f>
        <v>7</v>
      </c>
      <c r="I21" s="4">
        <f>Novembre6[[#This Row],[CR (h)]] - Novembre6[[#This Row],[Charge Initiale (h)]]</f>
        <v>0</v>
      </c>
      <c r="J21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1" s="4">
        <f>IF(Novembre6[[#This Row],[TPS Cumul (h)]]&gt;0,Novembre6[[#This Row],[Charge Initiale (h)]]*Novembre6[[#This Row],[Prix de revien unitaire(€)]],0)</f>
        <v>0</v>
      </c>
      <c r="L21" s="4">
        <f>Novembre6[[#This Row],[CR (h)]]*Novembre6[[#This Row],[Prix de revien unitaire(€)]]</f>
        <v>476</v>
      </c>
      <c r="M21" s="4">
        <f>Novembre6[[#This Row],[Prix de revien unitaire(€)]]*Novembre6[[#This Row],[TPS Cumul (h)]]</f>
        <v>0</v>
      </c>
      <c r="N21" s="1" t="s">
        <v>39</v>
      </c>
    </row>
    <row r="22" spans="1:14" x14ac:dyDescent="0.2">
      <c r="A22" s="33" t="s">
        <v>28</v>
      </c>
      <c r="B22" s="3" t="s">
        <v>55</v>
      </c>
      <c r="C22" t="s">
        <v>15</v>
      </c>
      <c r="D22" s="4">
        <v>7</v>
      </c>
      <c r="E22" s="4">
        <v>3</v>
      </c>
      <c r="F22" s="4">
        <f>Novembre6[[#This Row],[TPS Période(h)]]</f>
        <v>3</v>
      </c>
      <c r="G22" s="4">
        <f>IF(N22="Non",MAX(Novembre6[[#This Row],[Charge Initiale (h)]]-Novembre6[[#This Row],[TPS Cumul (h)]],0),0)</f>
        <v>4</v>
      </c>
      <c r="H22" s="4">
        <f>Novembre6[[#This Row],[TPS Cumul (h)]]+Novembre6[[#This Row],[Reste à passer (h) ]]</f>
        <v>7</v>
      </c>
      <c r="I22" s="4">
        <f>Novembre6[[#This Row],[CR (h)]] - Novembre6[[#This Row],[Charge Initiale (h)]]</f>
        <v>0</v>
      </c>
      <c r="J22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2" s="4">
        <f>IF(Novembre6[[#This Row],[TPS Cumul (h)]]&gt;0,Novembre6[[#This Row],[Charge Initiale (h)]]*Novembre6[[#This Row],[Prix de revien unitaire(€)]],0)</f>
        <v>476</v>
      </c>
      <c r="L22" s="4">
        <f>Novembre6[[#This Row],[CR (h)]]*Novembre6[[#This Row],[Prix de revien unitaire(€)]]</f>
        <v>476</v>
      </c>
      <c r="M22" s="4">
        <f>Novembre6[[#This Row],[Prix de revien unitaire(€)]]*Novembre6[[#This Row],[TPS Cumul (h)]]</f>
        <v>204</v>
      </c>
      <c r="N22" s="1" t="s">
        <v>39</v>
      </c>
    </row>
    <row r="23" spans="1:14" x14ac:dyDescent="0.2">
      <c r="A23" s="33"/>
      <c r="B23" s="3" t="s">
        <v>56</v>
      </c>
      <c r="C23" t="s">
        <v>15</v>
      </c>
      <c r="D23" s="4">
        <v>2</v>
      </c>
      <c r="E23" s="4">
        <v>3</v>
      </c>
      <c r="F23" s="4">
        <f>Novembre6[[#This Row],[TPS Période(h)]]</f>
        <v>3</v>
      </c>
      <c r="G23" s="4">
        <f>IF(N23="Non",MAX(Novembre6[[#This Row],[Charge Initiale (h)]]-Novembre6[[#This Row],[TPS Cumul (h)]],0),0)</f>
        <v>0</v>
      </c>
      <c r="H23" s="4">
        <f>Novembre6[[#This Row],[TPS Cumul (h)]]+Novembre6[[#This Row],[Reste à passer (h) ]]</f>
        <v>3</v>
      </c>
      <c r="I23" s="4">
        <f>Novembre6[[#This Row],[CR (h)]] - Novembre6[[#This Row],[Charge Initiale (h)]]</f>
        <v>1</v>
      </c>
      <c r="J23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3" s="4">
        <f>IF(Novembre6[[#This Row],[TPS Cumul (h)]]&gt;0,Novembre6[[#This Row],[Charge Initiale (h)]]*Novembre6[[#This Row],[Prix de revien unitaire(€)]],0)</f>
        <v>136</v>
      </c>
      <c r="L23" s="4">
        <f>Novembre6[[#This Row],[CR (h)]]*Novembre6[[#This Row],[Prix de revien unitaire(€)]]</f>
        <v>204</v>
      </c>
      <c r="M23" s="4">
        <f>Novembre6[[#This Row],[Prix de revien unitaire(€)]]*Novembre6[[#This Row],[TPS Cumul (h)]]</f>
        <v>204</v>
      </c>
      <c r="N23" s="1" t="s">
        <v>39</v>
      </c>
    </row>
    <row r="24" spans="1:14" x14ac:dyDescent="0.2">
      <c r="A24" s="45" t="s">
        <v>29</v>
      </c>
      <c r="B24" s="3" t="s">
        <v>57</v>
      </c>
      <c r="C24" t="s">
        <v>15</v>
      </c>
      <c r="D24" s="4">
        <v>2</v>
      </c>
      <c r="E24" s="4"/>
      <c r="F24" s="4">
        <f>Novembre6[[#This Row],[TPS Période(h)]]</f>
        <v>0</v>
      </c>
      <c r="G24" s="4">
        <f>IF(N24="Non",MAX(Novembre6[[#This Row],[Charge Initiale (h)]]-Novembre6[[#This Row],[TPS Cumul (h)]],0),0)</f>
        <v>2</v>
      </c>
      <c r="H24" s="4">
        <f>Novembre6[[#This Row],[TPS Cumul (h)]]+Novembre6[[#This Row],[Reste à passer (h) ]]</f>
        <v>2</v>
      </c>
      <c r="I24" s="4">
        <f>Novembre6[[#This Row],[CR (h)]] - Novembre6[[#This Row],[Charge Initiale (h)]]</f>
        <v>0</v>
      </c>
      <c r="J24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4" s="4">
        <f>IF(Novembre6[[#This Row],[TPS Cumul (h)]]&gt;0,Novembre6[[#This Row],[Charge Initiale (h)]]*Novembre6[[#This Row],[Prix de revien unitaire(€)]],0)</f>
        <v>0</v>
      </c>
      <c r="L24" s="4">
        <f>Novembre6[[#This Row],[CR (h)]]*Novembre6[[#This Row],[Prix de revien unitaire(€)]]</f>
        <v>136</v>
      </c>
      <c r="M24" s="4">
        <f>Novembre6[[#This Row],[Prix de revien unitaire(€)]]*Novembre6[[#This Row],[TPS Cumul (h)]]</f>
        <v>0</v>
      </c>
      <c r="N24" s="1" t="s">
        <v>39</v>
      </c>
    </row>
    <row r="25" spans="1:14" x14ac:dyDescent="0.2">
      <c r="A25" s="46"/>
      <c r="B25" s="3" t="s">
        <v>58</v>
      </c>
      <c r="C25" t="s">
        <v>15</v>
      </c>
      <c r="D25" s="4">
        <v>2</v>
      </c>
      <c r="E25" s="4"/>
      <c r="F25" s="4">
        <f>Novembre6[[#This Row],[TPS Période(h)]]</f>
        <v>0</v>
      </c>
      <c r="G25" s="4">
        <f>IF(N25="Non",MAX(Novembre6[[#This Row],[Charge Initiale (h)]]-Novembre6[[#This Row],[TPS Cumul (h)]],0),0)</f>
        <v>2</v>
      </c>
      <c r="H25" s="4">
        <f>Novembre6[[#This Row],[TPS Cumul (h)]]+Novembre6[[#This Row],[Reste à passer (h) ]]</f>
        <v>2</v>
      </c>
      <c r="I25" s="4">
        <f>Novembre6[[#This Row],[CR (h)]] - Novembre6[[#This Row],[Charge Initiale (h)]]</f>
        <v>0</v>
      </c>
      <c r="J25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5" s="4">
        <f>IF(Novembre6[[#This Row],[TPS Cumul (h)]]&gt;0,Novembre6[[#This Row],[Charge Initiale (h)]]*Novembre6[[#This Row],[Prix de revien unitaire(€)]],0)</f>
        <v>0</v>
      </c>
      <c r="L25" s="4">
        <f>Novembre6[[#This Row],[CR (h)]]*Novembre6[[#This Row],[Prix de revien unitaire(€)]]</f>
        <v>136</v>
      </c>
      <c r="M25" s="4">
        <f>Novembre6[[#This Row],[Prix de revien unitaire(€)]]*Novembre6[[#This Row],[TPS Cumul (h)]]</f>
        <v>0</v>
      </c>
      <c r="N25" s="1" t="s">
        <v>39</v>
      </c>
    </row>
    <row r="26" spans="1:14" x14ac:dyDescent="0.2">
      <c r="A26" s="19" t="s">
        <v>30</v>
      </c>
      <c r="B26" s="8" t="s">
        <v>59</v>
      </c>
      <c r="C26" t="s">
        <v>15</v>
      </c>
      <c r="D26" s="4">
        <v>10</v>
      </c>
      <c r="E26" s="4"/>
      <c r="F26" s="4">
        <f>Novembre6[[#This Row],[TPS Période(h)]]</f>
        <v>0</v>
      </c>
      <c r="G26" s="4">
        <f>IF(N26="Non",MAX(Novembre6[[#This Row],[Charge Initiale (h)]]-Novembre6[[#This Row],[TPS Cumul (h)]],0),0)</f>
        <v>10</v>
      </c>
      <c r="H26" s="4">
        <f>Novembre6[[#This Row],[TPS Cumul (h)]]+Novembre6[[#This Row],[Reste à passer (h) ]]</f>
        <v>10</v>
      </c>
      <c r="I26" s="4">
        <f>Novembre6[[#This Row],[CR (h)]] - Novembre6[[#This Row],[Charge Initiale (h)]]</f>
        <v>0</v>
      </c>
      <c r="J26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6" s="4">
        <f>IF(Novembre6[[#This Row],[TPS Cumul (h)]]&gt;0,Novembre6[[#This Row],[Charge Initiale (h)]]*Novembre6[[#This Row],[Prix de revien unitaire(€)]],0)</f>
        <v>0</v>
      </c>
      <c r="L26" s="4">
        <f>Novembre6[[#This Row],[CR (h)]]*Novembre6[[#This Row],[Prix de revien unitaire(€)]]</f>
        <v>680</v>
      </c>
      <c r="M26" s="4">
        <f>Novembre6[[#This Row],[Prix de revien unitaire(€)]]*Novembre6[[#This Row],[TPS Cumul (h)]]</f>
        <v>0</v>
      </c>
      <c r="N26" s="1" t="s">
        <v>39</v>
      </c>
    </row>
    <row r="27" spans="1:14" x14ac:dyDescent="0.2">
      <c r="A27" s="19"/>
      <c r="B27" s="8" t="s">
        <v>61</v>
      </c>
      <c r="C27" t="s">
        <v>15</v>
      </c>
      <c r="D27" s="4">
        <v>2</v>
      </c>
      <c r="E27" s="4"/>
      <c r="F27" s="4">
        <f>Novembre6[[#This Row],[TPS Période(h)]]</f>
        <v>0</v>
      </c>
      <c r="G27" s="4">
        <f>IF(N27="Non",MAX(Novembre6[[#This Row],[Charge Initiale (h)]]-Novembre6[[#This Row],[TPS Cumul (h)]],0),0)</f>
        <v>2</v>
      </c>
      <c r="H27" s="4">
        <f>Novembre6[[#This Row],[TPS Cumul (h)]]+Novembre6[[#This Row],[Reste à passer (h) ]]</f>
        <v>2</v>
      </c>
      <c r="I27" s="4">
        <f>Novembre6[[#This Row],[CR (h)]] - Novembre6[[#This Row],[Charge Initiale (h)]]</f>
        <v>0</v>
      </c>
      <c r="J27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7" s="4">
        <f>IF(Novembre6[[#This Row],[TPS Cumul (h)]]&gt;0,Novembre6[[#This Row],[Charge Initiale (h)]]*Novembre6[[#This Row],[Prix de revien unitaire(€)]],0)</f>
        <v>0</v>
      </c>
      <c r="L27" s="4">
        <f>Novembre6[[#This Row],[CR (h)]]*Novembre6[[#This Row],[Prix de revien unitaire(€)]]</f>
        <v>136</v>
      </c>
      <c r="M27" s="4">
        <f>Novembre6[[#This Row],[Prix de revien unitaire(€)]]*Novembre6[[#This Row],[TPS Cumul (h)]]</f>
        <v>0</v>
      </c>
      <c r="N27" s="1" t="s">
        <v>39</v>
      </c>
    </row>
    <row r="28" spans="1:14" x14ac:dyDescent="0.2">
      <c r="A28" s="40" t="s">
        <v>31</v>
      </c>
      <c r="B28" s="3" t="s">
        <v>60</v>
      </c>
      <c r="C28" t="s">
        <v>15</v>
      </c>
      <c r="D28" s="4">
        <v>3</v>
      </c>
      <c r="E28" s="4"/>
      <c r="F28" s="4">
        <f>Novembre6[[#This Row],[TPS Période(h)]]</f>
        <v>0</v>
      </c>
      <c r="G28" s="4">
        <f>IF(N28="Non",MAX(Novembre6[[#This Row],[Charge Initiale (h)]]-Novembre6[[#This Row],[TPS Cumul (h)]],0),0)</f>
        <v>3</v>
      </c>
      <c r="H28" s="4">
        <f>Novembre6[[#This Row],[TPS Cumul (h)]]+Novembre6[[#This Row],[Reste à passer (h) ]]</f>
        <v>3</v>
      </c>
      <c r="I28" s="4">
        <f>Novembre6[[#This Row],[CR (h)]] - Novembre6[[#This Row],[Charge Initiale (h)]]</f>
        <v>0</v>
      </c>
      <c r="J28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8" s="4">
        <f>IF(Novembre6[[#This Row],[TPS Cumul (h)]]&gt;0,Novembre6[[#This Row],[Charge Initiale (h)]]*Novembre6[[#This Row],[Prix de revien unitaire(€)]],0)</f>
        <v>0</v>
      </c>
      <c r="L28" s="4">
        <f>Novembre6[[#This Row],[CR (h)]]*Novembre6[[#This Row],[Prix de revien unitaire(€)]]</f>
        <v>204</v>
      </c>
      <c r="M28" s="4">
        <f>Novembre6[[#This Row],[Prix de revien unitaire(€)]]*Novembre6[[#This Row],[TPS Cumul (h)]]</f>
        <v>0</v>
      </c>
      <c r="N28" s="1" t="s">
        <v>39</v>
      </c>
    </row>
    <row r="29" spans="1:14" x14ac:dyDescent="0.2">
      <c r="A29" s="34"/>
      <c r="B29" s="3" t="s">
        <v>63</v>
      </c>
      <c r="C29" t="s">
        <v>15</v>
      </c>
      <c r="D29" s="4">
        <v>0</v>
      </c>
      <c r="E29" s="4"/>
      <c r="F29" s="4">
        <f>Novembre6[[#This Row],[TPS Période(h)]]</f>
        <v>0</v>
      </c>
      <c r="G29" s="4">
        <f>IF(N29="Non",MAX(Novembre6[[#This Row],[Charge Initiale (h)]]-Novembre6[[#This Row],[TPS Cumul (h)]],0),0)</f>
        <v>0</v>
      </c>
      <c r="H29" s="4">
        <f>Novembre6[[#This Row],[TPS Cumul (h)]]+Novembre6[[#This Row],[Reste à passer (h) ]]</f>
        <v>0</v>
      </c>
      <c r="I29" s="4">
        <f>Novembre6[[#This Row],[CR (h)]] - Novembre6[[#This Row],[Charge Initiale (h)]]</f>
        <v>0</v>
      </c>
      <c r="J29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29" s="4">
        <f>IF(Novembre6[[#This Row],[TPS Cumul (h)]]&gt;0,Novembre6[[#This Row],[Charge Initiale (h)]]*Novembre6[[#This Row],[Prix de revien unitaire(€)]],0)</f>
        <v>0</v>
      </c>
      <c r="L29" s="4">
        <f>Novembre6[[#This Row],[CR (h)]]*Novembre6[[#This Row],[Prix de revien unitaire(€)]]</f>
        <v>0</v>
      </c>
      <c r="M29" s="4">
        <f>Novembre6[[#This Row],[Prix de revien unitaire(€)]]*Novembre6[[#This Row],[TPS Cumul (h)]]</f>
        <v>0</v>
      </c>
      <c r="N29" s="1" t="s">
        <v>39</v>
      </c>
    </row>
    <row r="30" spans="1:14" x14ac:dyDescent="0.2">
      <c r="A30" s="34"/>
      <c r="B30" s="3" t="s">
        <v>64</v>
      </c>
      <c r="C30" t="s">
        <v>15</v>
      </c>
      <c r="D30" s="4">
        <v>0</v>
      </c>
      <c r="E30" s="4"/>
      <c r="F30" s="4">
        <f>Novembre6[[#This Row],[TPS Période(h)]]</f>
        <v>0</v>
      </c>
      <c r="G30" s="4">
        <f>IF(N30="Non",MAX(Novembre6[[#This Row],[Charge Initiale (h)]]-Novembre6[[#This Row],[TPS Cumul (h)]],0),0)</f>
        <v>0</v>
      </c>
      <c r="H30" s="4">
        <f>Novembre6[[#This Row],[TPS Cumul (h)]]+Novembre6[[#This Row],[Reste à passer (h) ]]</f>
        <v>0</v>
      </c>
      <c r="I30" s="4">
        <f>Novembre6[[#This Row],[CR (h)]] - Novembre6[[#This Row],[Charge Initiale (h)]]</f>
        <v>0</v>
      </c>
      <c r="J30" s="4" t="str">
        <f>IF(Novembre6[[#This Row],[Qui]]="Chef de projet","68",IF(Novembre6[[#This Row],[Qui]]="Ingénieur Electronique","32",IF(Novembre6[[#This Row],[Qui]]="Ingénieur qualité","36",IF(Novembre6[[#This Row],[Qui]]="Ingénieur Développement",30,IF(Novembre6[[#This Row],[Qui]]="Ingénieur Mécanique",34,"")))))</f>
        <v>68</v>
      </c>
      <c r="K30" s="4">
        <f>IF(Novembre6[[#This Row],[TPS Cumul (h)]]&gt;0,Novembre6[[#This Row],[Charge Initiale (h)]]*Novembre6[[#This Row],[Prix de revien unitaire(€)]],0)</f>
        <v>0</v>
      </c>
      <c r="L30" s="4">
        <f>Novembre6[[#This Row],[CR (h)]]*Novembre6[[#This Row],[Prix de revien unitaire(€)]]</f>
        <v>0</v>
      </c>
      <c r="M30" s="4">
        <f>Novembre6[[#This Row],[Prix de revien unitaire(€)]]*Novembre6[[#This Row],[TPS Cumul (h)]]</f>
        <v>0</v>
      </c>
      <c r="N30" s="1" t="s">
        <v>39</v>
      </c>
    </row>
    <row r="31" spans="1:14" x14ac:dyDescent="0.2">
      <c r="B31" s="2" t="s">
        <v>17</v>
      </c>
      <c r="C31" s="2"/>
      <c r="D31" s="2">
        <f>SUBTOTAL(109,Novembre6[Charge Initiale (h)])</f>
        <v>120</v>
      </c>
      <c r="E31" s="2">
        <f>SUBTOTAL(109,Novembre6[TPS Période(h)])</f>
        <v>79</v>
      </c>
      <c r="F31" s="2">
        <f>SUBTOTAL(109,Novembre6[TPS Cumul (h)])</f>
        <v>79</v>
      </c>
      <c r="G31" s="2">
        <f>SUBTOTAL(109,Novembre6[Reste à passer (h) ])</f>
        <v>40</v>
      </c>
      <c r="H31" s="2">
        <f>SUBTOTAL(109,Novembre6[CR (h)])</f>
        <v>119</v>
      </c>
      <c r="I31" s="2">
        <f>SUBTOTAL(109,Novembre6[ Ecart de charge (h)])</f>
        <v>-1</v>
      </c>
      <c r="J31" s="2">
        <f>SUBTOTAL(109,Novembre6[Prix de revien unitaire(€)])</f>
        <v>0</v>
      </c>
      <c r="K31" s="2">
        <f>SUBTOTAL(109,Novembre6[Coût Initial (€)])</f>
        <v>6188</v>
      </c>
      <c r="L31" s="1">
        <f>SUBTOTAL(109,Novembre6[Coût Révisé (€)])</f>
        <v>8092</v>
      </c>
      <c r="M31" s="2">
        <f>SUBTOTAL(109,Novembre6[Coût Réel])</f>
        <v>5372</v>
      </c>
      <c r="N31" s="2"/>
    </row>
    <row r="32" spans="1:14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2">
      <c r="A35" s="29"/>
      <c r="B35" s="30" t="s">
        <v>19</v>
      </c>
      <c r="C35" s="31" t="s">
        <v>36</v>
      </c>
      <c r="D35" s="31" t="s">
        <v>22</v>
      </c>
      <c r="E35" s="29"/>
      <c r="F35" s="29"/>
      <c r="G35" s="29"/>
      <c r="H35" s="29"/>
      <c r="I35" s="29"/>
      <c r="J35" s="29"/>
      <c r="K35" s="29"/>
      <c r="L35" s="29"/>
      <c r="M35" s="29"/>
      <c r="N35" s="26" t="s">
        <v>37</v>
      </c>
    </row>
    <row r="36" spans="1:14" x14ac:dyDescent="0.2">
      <c r="A36" s="29"/>
      <c r="B36" s="28" t="s">
        <v>20</v>
      </c>
      <c r="C36" s="32">
        <v>120</v>
      </c>
      <c r="D36" s="32">
        <v>68</v>
      </c>
      <c r="E36" s="29"/>
      <c r="F36" s="29"/>
      <c r="G36" s="29"/>
      <c r="H36" s="29"/>
      <c r="I36" s="29"/>
      <c r="J36" s="29"/>
      <c r="K36" s="29"/>
      <c r="L36" s="29"/>
      <c r="M36" s="29"/>
      <c r="N36" s="28" t="s">
        <v>38</v>
      </c>
    </row>
    <row r="37" spans="1:14" x14ac:dyDescent="0.2">
      <c r="A37" s="29"/>
      <c r="B37" s="28" t="s">
        <v>17</v>
      </c>
      <c r="C37" s="32">
        <v>120</v>
      </c>
      <c r="D37" s="32">
        <v>8160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2">
      <c r="B39" s="5" t="s">
        <v>15</v>
      </c>
      <c r="C39" s="5">
        <v>0</v>
      </c>
      <c r="D39" s="5">
        <v>68</v>
      </c>
      <c r="E39" s="5"/>
    </row>
    <row r="40" spans="1:14" x14ac:dyDescent="0.2">
      <c r="B40" s="5" t="s">
        <v>17</v>
      </c>
      <c r="C40" s="5">
        <f>SUM(C37:C39)</f>
        <v>120</v>
      </c>
      <c r="D40" s="5"/>
      <c r="E40" s="5"/>
    </row>
  </sheetData>
  <mergeCells count="8">
    <mergeCell ref="A22:A23"/>
    <mergeCell ref="A24:A25"/>
    <mergeCell ref="A28:A30"/>
    <mergeCell ref="A2:A3"/>
    <mergeCell ref="A10:A13"/>
    <mergeCell ref="A14:A17"/>
    <mergeCell ref="A4:A9"/>
    <mergeCell ref="A18:A21"/>
  </mergeCells>
  <conditionalFormatting sqref="B2:B3 D2:D30">
    <cfRule type="expression" dxfId="34" priority="3">
      <formula>$F2&gt;0</formula>
    </cfRule>
  </conditionalFormatting>
  <conditionalFormatting sqref="B4:B9">
    <cfRule type="expression" dxfId="33" priority="5">
      <formula>#REF!&gt;0</formula>
    </cfRule>
  </conditionalFormatting>
  <conditionalFormatting sqref="B6">
    <cfRule type="expression" dxfId="32" priority="6">
      <formula>$F4&gt;0</formula>
    </cfRule>
  </conditionalFormatting>
  <conditionalFormatting sqref="B7:B8">
    <cfRule type="expression" dxfId="31" priority="14">
      <formula>$F12&gt;0</formula>
    </cfRule>
  </conditionalFormatting>
  <conditionalFormatting sqref="B9">
    <cfRule type="expression" dxfId="30" priority="13">
      <formula>$F13&gt;0</formula>
    </cfRule>
  </conditionalFormatting>
  <conditionalFormatting sqref="B11">
    <cfRule type="expression" dxfId="29" priority="8">
      <formula>#REF!&gt;0</formula>
    </cfRule>
  </conditionalFormatting>
  <conditionalFormatting sqref="B12:B13">
    <cfRule type="expression" dxfId="28" priority="7">
      <formula>$F15&gt;0</formula>
    </cfRule>
  </conditionalFormatting>
  <conditionalFormatting sqref="B14:B18">
    <cfRule type="expression" dxfId="27" priority="4">
      <formula>#REF!&gt;0</formula>
    </cfRule>
  </conditionalFormatting>
  <conditionalFormatting sqref="B20:B28">
    <cfRule type="expression" dxfId="26" priority="2">
      <formula>#REF!&gt;0</formula>
    </cfRule>
  </conditionalFormatting>
  <conditionalFormatting sqref="B21 B23:B26 B28 C2:C30 F2:M30">
    <cfRule type="expression" dxfId="25" priority="9">
      <formula>$N2="Oui"</formula>
    </cfRule>
  </conditionalFormatting>
  <conditionalFormatting sqref="B21">
    <cfRule type="expression" dxfId="24" priority="11">
      <formula>$N18="Oui"</formula>
    </cfRule>
    <cfRule type="expression" dxfId="23" priority="12">
      <formula>$F18&gt;0</formula>
    </cfRule>
  </conditionalFormatting>
  <conditionalFormatting sqref="B24:B28">
    <cfRule type="expression" dxfId="22" priority="17">
      <formula>#REF!="Oui"</formula>
    </cfRule>
    <cfRule type="expression" dxfId="21" priority="18">
      <formula>#REF!&gt;0</formula>
    </cfRule>
  </conditionalFormatting>
  <conditionalFormatting sqref="B27">
    <cfRule type="expression" dxfId="20" priority="15">
      <formula>#REF!="Oui"</formula>
    </cfRule>
    <cfRule type="expression" dxfId="19" priority="16">
      <formula>#REF!&gt;0</formula>
    </cfRule>
    <cfRule type="expression" dxfId="18" priority="19">
      <formula>$N29="Oui"</formula>
    </cfRule>
    <cfRule type="expression" dxfId="17" priority="20">
      <formula>$F29&gt;0</formula>
    </cfRule>
    <cfRule type="expression" dxfId="16" priority="21">
      <formula>#REF!="Oui"</formula>
    </cfRule>
    <cfRule type="expression" dxfId="15" priority="22">
      <formula>#REF!&gt;0</formula>
    </cfRule>
  </conditionalFormatting>
  <conditionalFormatting sqref="C2:C30 F2:M30 B21 B23:B26 B28">
    <cfRule type="expression" dxfId="14" priority="10">
      <formula>$F2&gt;0</formula>
    </cfRule>
  </conditionalFormatting>
  <conditionalFormatting sqref="E2:E30">
    <cfRule type="expression" dxfId="13" priority="1">
      <formula>$F2&gt;0</formula>
    </cfRule>
  </conditionalFormatting>
  <dataValidations count="2">
    <dataValidation type="list" allowBlank="1" showInputMessage="1" showErrorMessage="1" sqref="N2:N30" xr:uid="{D097F15A-00C6-5A44-9A70-98BCC8843F82}">
      <formula1>$N$36:$N$36</formula1>
    </dataValidation>
    <dataValidation type="list" allowBlank="1" showInputMessage="1" showErrorMessage="1" sqref="C2:C30" xr:uid="{E0A2E741-846F-734E-97A7-BD1A2FEC59C9}">
      <formula1>$B$36:$B$36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e72ef8-afb7-4cab-8045-23d1f296c8e3" xsi:nil="true"/>
    <lcf76f155ced4ddcb4097134ff3c332f xmlns="f3823e97-3c8f-42af-9aa3-4a85adc1b98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263497045A640A8CB558901A6A6C8" ma:contentTypeVersion="11" ma:contentTypeDescription="Crée un document." ma:contentTypeScope="" ma:versionID="74a64c617853225d9915ce5c2407eb7f">
  <xsd:schema xmlns:xsd="http://www.w3.org/2001/XMLSchema" xmlns:xs="http://www.w3.org/2001/XMLSchema" xmlns:p="http://schemas.microsoft.com/office/2006/metadata/properties" xmlns:ns2="f3823e97-3c8f-42af-9aa3-4a85adc1b986" xmlns:ns3="1ee72ef8-afb7-4cab-8045-23d1f296c8e3" targetNamespace="http://schemas.microsoft.com/office/2006/metadata/properties" ma:root="true" ma:fieldsID="2245405c225123f82bf2fff4f792a1eb" ns2:_="" ns3:_="">
    <xsd:import namespace="f3823e97-3c8f-42af-9aa3-4a85adc1b986"/>
    <xsd:import namespace="1ee72ef8-afb7-4cab-8045-23d1f296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23e97-3c8f-42af-9aa3-4a85adc1b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72ef8-afb7-4cab-8045-23d1f296c8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760f6c-308c-4bc3-aa0b-acf4d151f2cd}" ma:internalName="TaxCatchAll" ma:showField="CatchAllData" ma:web="1ee72ef8-afb7-4cab-8045-23d1f296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8A56E-0482-4C34-B391-4275AF43D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8CA4D-88CF-4FAD-9219-4EDEC6099C12}">
  <ds:schemaRefs>
    <ds:schemaRef ds:uri="http://purl.org/dc/dcmitype/"/>
    <ds:schemaRef ds:uri="1ee72ef8-afb7-4cab-8045-23d1f296c8e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3823e97-3c8f-42af-9aa3-4a85adc1b98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B8A2DB-F0C8-46F4-AC39-BA8B306E6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23e97-3c8f-42af-9aa3-4a85adc1b986"/>
    <ds:schemaRef ds:uri="1ee72ef8-afb7-4cab-8045-23d1f296c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6150599-ebb0-4fcf-94a5-6010823c7bd5}" enabled="0" method="" siteId="{16150599-ebb0-4fcf-94a5-6010823c7b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Septembre</vt:lpstr>
      <vt:lpstr>Octobre</vt:lpstr>
      <vt:lpstr>Novembre</vt:lpstr>
      <vt:lpstr>Décembre</vt:lpstr>
      <vt:lpstr>Janvier</vt:lpstr>
      <vt:lpstr>Février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Damien Lorigeon</cp:lastModifiedBy>
  <cp:revision/>
  <dcterms:created xsi:type="dcterms:W3CDTF">2024-01-15T15:35:24Z</dcterms:created>
  <dcterms:modified xsi:type="dcterms:W3CDTF">2026-01-17T23:44:50Z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0x010100CF9263497045A640A8CB558901A6A6C8</vt:lpwstr>
  </property>
  <property fmtid="{D5CDD505-2E9C-101B-9397-08002B2CF9AE}" pid="3" name="MediaServiceImageTags">
    <vt:lpwstr/>
  </property>
</Properties>
</file>