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damienlorigeon/Documents/Polytech/5A/PRI/PRI-IEC61499-UniversalAutomation/02 - Gestion de projet/Indicateurs Qualités/"/>
    </mc:Choice>
  </mc:AlternateContent>
  <xr:revisionPtr revIDLastSave="0" documentId="13_ncr:1_{D06CE070-9939-A94A-A0B2-1A4F459CC5A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isq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H28" i="1"/>
  <c r="D28" i="1"/>
  <c r="H5" i="1" l="1"/>
  <c r="H6" i="1"/>
  <c r="H7" i="1"/>
  <c r="H8" i="1"/>
  <c r="H9" i="1"/>
  <c r="H4" i="1"/>
  <c r="H3" i="1"/>
  <c r="E4" i="1"/>
  <c r="E5" i="1"/>
  <c r="E6" i="1"/>
  <c r="E7" i="1"/>
  <c r="E8" i="1"/>
  <c r="E9" i="1"/>
  <c r="E28" i="1"/>
  <c r="F28" i="1"/>
  <c r="G28" i="1"/>
  <c r="D31" i="1"/>
  <c r="E31" i="1"/>
  <c r="F31" i="1"/>
  <c r="G31" i="1"/>
  <c r="H31" i="1"/>
  <c r="D34" i="1"/>
  <c r="E34" i="1"/>
  <c r="F34" i="1"/>
  <c r="G34" i="1"/>
  <c r="H34" i="1"/>
  <c r="D37" i="1"/>
  <c r="E37" i="1"/>
  <c r="F37" i="1"/>
  <c r="G37" i="1"/>
  <c r="H37" i="1"/>
  <c r="D40" i="1"/>
  <c r="E40" i="1"/>
  <c r="F40" i="1"/>
  <c r="G40" i="1"/>
  <c r="H40" i="1"/>
  <c r="D46" i="1"/>
  <c r="D43" i="1"/>
  <c r="E43" i="1"/>
  <c r="F43" i="1"/>
  <c r="G43" i="1"/>
  <c r="H43" i="1"/>
  <c r="E46" i="1"/>
  <c r="F46" i="1"/>
  <c r="G46" i="1"/>
  <c r="H46" i="1"/>
  <c r="C34" i="1"/>
  <c r="C37" i="1"/>
  <c r="C40" i="1"/>
  <c r="C43" i="1"/>
  <c r="C46" i="1"/>
  <c r="C31" i="1"/>
  <c r="C28" i="1"/>
</calcChain>
</file>

<file path=xl/sharedStrings.xml><?xml version="1.0" encoding="utf-8"?>
<sst xmlns="http://schemas.openxmlformats.org/spreadsheetml/2006/main" count="72" uniqueCount="38">
  <si>
    <t>Risques</t>
  </si>
  <si>
    <t>Avant Analyse</t>
  </si>
  <si>
    <t>Après Analyse</t>
  </si>
  <si>
    <t>Septembre</t>
  </si>
  <si>
    <t>Octobre</t>
  </si>
  <si>
    <t>Novembre</t>
  </si>
  <si>
    <t>Décembre</t>
  </si>
  <si>
    <t>Janvier</t>
  </si>
  <si>
    <t>Février</t>
  </si>
  <si>
    <t>Probabilité</t>
  </si>
  <si>
    <t>Insignifiant = 1</t>
  </si>
  <si>
    <t>Catastrophique = 5</t>
  </si>
  <si>
    <t>Mineure = 2</t>
  </si>
  <si>
    <t>Modérée = 3</t>
  </si>
  <si>
    <t>Majeure = 4</t>
  </si>
  <si>
    <t>Très probable = 5</t>
  </si>
  <si>
    <t>Probable = 4</t>
  </si>
  <si>
    <t>Possible = 3</t>
  </si>
  <si>
    <t>Peu probable = 2</t>
  </si>
  <si>
    <t>Très improbable = 1</t>
  </si>
  <si>
    <t>Analyse des risques</t>
  </si>
  <si>
    <t>Impact</t>
  </si>
  <si>
    <t>Indicateur</t>
  </si>
  <si>
    <t>ID</t>
  </si>
  <si>
    <t>R1</t>
  </si>
  <si>
    <t>R2</t>
  </si>
  <si>
    <t>R3</t>
  </si>
  <si>
    <t>R4</t>
  </si>
  <si>
    <t>R5</t>
  </si>
  <si>
    <t>R6</t>
  </si>
  <si>
    <t>R7</t>
  </si>
  <si>
    <t>Difficulté configuration Modbus TCP (SoftPLC ↔ Factory I/O)</t>
  </si>
  <si>
    <t>Synchronisation instable entre événements EAE et Factory IO</t>
  </si>
  <si>
    <t>Complexité CAT / Blocs EAE (REQ/CNF, événements mal chaînés)</t>
  </si>
  <si>
    <t>Retard dans le développement IEC61499 (EAE)</t>
  </si>
  <si>
    <t>Manque de documentation Schneider / IEC61499</t>
  </si>
  <si>
    <t>Communication inefficace avec encadrants</t>
  </si>
  <si>
    <t>Incompatibilité / bugs Factory IO – SoftPLC – 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</si>
</sst>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1" xfId="0" applyFill="1" applyBorder="1"/>
    <xf numFmtId="0" fontId="1" fillId="2" borderId="0" xfId="0" applyFont="1" applyFill="1"/>
    <xf numFmtId="0" fontId="1" fillId="2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5" xfId="0" applyFill="1" applyBorder="1"/>
    <xf numFmtId="0" fontId="0" fillId="4" borderId="1" xfId="0" applyFill="1" applyBorder="1"/>
    <xf numFmtId="0" fontId="0" fillId="3" borderId="5" xfId="0" applyFill="1" applyBorder="1"/>
    <xf numFmtId="0" fontId="2" fillId="0" borderId="0" xfId="0" applyFont="1" applyAlignment="1">
      <alignment horizontal="center" vertical="center" textRotation="90"/>
    </xf>
    <xf numFmtId="0" fontId="0" fillId="0" borderId="6" xfId="0" applyBorder="1"/>
    <xf numFmtId="0" fontId="0" fillId="5" borderId="6" xfId="0" applyFill="1" applyBorder="1"/>
    <xf numFmtId="0" fontId="0" fillId="7" borderId="6" xfId="0" applyFill="1" applyBorder="1"/>
    <xf numFmtId="0" fontId="0" fillId="6" borderId="6" xfId="0" applyFill="1" applyBorder="1"/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 textRotation="90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59999389629810485"/>
          <bgColor theme="6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Indicateur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Risque!$B$28</c:f>
              <c:strCache>
                <c:ptCount val="1"/>
                <c:pt idx="0">
                  <c:v>Difficulté configuration Modbus TCP (SoftPLC ↔ Factory I/O)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C2C-4530-8649-6F8D730D1DF0}"/>
              </c:ext>
            </c:extLst>
          </c:dPt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Risque!$C$28:$H$28</c:f>
              <c:numCache>
                <c:formatCode>General</c:formatCode>
                <c:ptCount val="6"/>
                <c:pt idx="0">
                  <c:v>12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C-4530-8649-6F8D730D1DF0}"/>
            </c:ext>
          </c:extLst>
        </c:ser>
        <c:ser>
          <c:idx val="1"/>
          <c:order val="1"/>
          <c:tx>
            <c:strRef>
              <c:f>Risque!$B$29</c:f>
              <c:strCache>
                <c:ptCount val="1"/>
                <c:pt idx="0">
                  <c:v>Probabilité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Risque!$C$29:$H$29</c:f>
            </c:numRef>
          </c:val>
          <c:extLst>
            <c:ext xmlns:c16="http://schemas.microsoft.com/office/drawing/2014/chart" uri="{C3380CC4-5D6E-409C-BE32-E72D297353CC}">
              <c16:uniqueId val="{00000001-DC2C-4530-8649-6F8D730D1DF0}"/>
            </c:ext>
          </c:extLst>
        </c:ser>
        <c:ser>
          <c:idx val="2"/>
          <c:order val="2"/>
          <c:tx>
            <c:strRef>
              <c:f>Risque!$B$30</c:f>
              <c:strCache>
                <c:ptCount val="1"/>
                <c:pt idx="0">
                  <c:v>Impact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Risque!$C$30:$H$30</c:f>
            </c:numRef>
          </c:val>
          <c:extLst>
            <c:ext xmlns:c16="http://schemas.microsoft.com/office/drawing/2014/chart" uri="{C3380CC4-5D6E-409C-BE32-E72D297353CC}">
              <c16:uniqueId val="{00000002-DC2C-4530-8649-6F8D730D1DF0}"/>
            </c:ext>
          </c:extLst>
        </c:ser>
        <c:ser>
          <c:idx val="3"/>
          <c:order val="3"/>
          <c:tx>
            <c:strRef>
              <c:f>Risque!$B$31</c:f>
              <c:strCache>
                <c:ptCount val="1"/>
                <c:pt idx="0">
                  <c:v>Synchronisation instable entre événements EAE et Factory IO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Risque!$C$31:$H$31</c:f>
              <c:numCache>
                <c:formatCode>General</c:formatCode>
                <c:ptCount val="6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12</c:v>
                </c:pt>
                <c:pt idx="4">
                  <c:v>8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2C-4530-8649-6F8D730D1DF0}"/>
            </c:ext>
          </c:extLst>
        </c:ser>
        <c:ser>
          <c:idx val="4"/>
          <c:order val="4"/>
          <c:tx>
            <c:strRef>
              <c:f>Risque!$B$32</c:f>
              <c:strCache>
                <c:ptCount val="1"/>
                <c:pt idx="0">
                  <c:v>Probabilité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Risque!$C$32:$H$32</c:f>
            </c:numRef>
          </c:val>
          <c:extLst>
            <c:ext xmlns:c16="http://schemas.microsoft.com/office/drawing/2014/chart" uri="{C3380CC4-5D6E-409C-BE32-E72D297353CC}">
              <c16:uniqueId val="{00000004-DC2C-4530-8649-6F8D730D1DF0}"/>
            </c:ext>
          </c:extLst>
        </c:ser>
        <c:ser>
          <c:idx val="5"/>
          <c:order val="5"/>
          <c:tx>
            <c:strRef>
              <c:f>Risque!$B$33</c:f>
              <c:strCache>
                <c:ptCount val="1"/>
                <c:pt idx="0">
                  <c:v>Impact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Risque!$C$33:$H$33</c:f>
            </c:numRef>
          </c:val>
          <c:extLst>
            <c:ext xmlns:c16="http://schemas.microsoft.com/office/drawing/2014/chart" uri="{C3380CC4-5D6E-409C-BE32-E72D297353CC}">
              <c16:uniqueId val="{00000005-DC2C-4530-8649-6F8D730D1DF0}"/>
            </c:ext>
          </c:extLst>
        </c:ser>
        <c:ser>
          <c:idx val="6"/>
          <c:order val="6"/>
          <c:tx>
            <c:strRef>
              <c:f>Risque!$B$34</c:f>
              <c:strCache>
                <c:ptCount val="1"/>
                <c:pt idx="0">
                  <c:v>Complexité CAT / Blocs EAE (REQ/CNF, événements mal chaînés)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Risque!$C$34:$H$34</c:f>
              <c:numCache>
                <c:formatCode>General</c:formatCode>
                <c:ptCount val="6"/>
                <c:pt idx="0">
                  <c:v>15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2C-4530-8649-6F8D730D1DF0}"/>
            </c:ext>
          </c:extLst>
        </c:ser>
        <c:ser>
          <c:idx val="7"/>
          <c:order val="7"/>
          <c:tx>
            <c:strRef>
              <c:f>Risque!$B$35</c:f>
              <c:strCache>
                <c:ptCount val="1"/>
                <c:pt idx="0">
                  <c:v>Probabilité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Risque!$C$35:$H$35</c:f>
            </c:numRef>
          </c:val>
          <c:extLst>
            <c:ext xmlns:c16="http://schemas.microsoft.com/office/drawing/2014/chart" uri="{C3380CC4-5D6E-409C-BE32-E72D297353CC}">
              <c16:uniqueId val="{00000007-DC2C-4530-8649-6F8D730D1DF0}"/>
            </c:ext>
          </c:extLst>
        </c:ser>
        <c:ser>
          <c:idx val="8"/>
          <c:order val="8"/>
          <c:tx>
            <c:strRef>
              <c:f>Risque!$B$36</c:f>
              <c:strCache>
                <c:ptCount val="1"/>
                <c:pt idx="0">
                  <c:v>Impact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Risque!$C$36:$H$36</c:f>
            </c:numRef>
          </c:val>
          <c:extLst>
            <c:ext xmlns:c16="http://schemas.microsoft.com/office/drawing/2014/chart" uri="{C3380CC4-5D6E-409C-BE32-E72D297353CC}">
              <c16:uniqueId val="{00000008-DC2C-4530-8649-6F8D730D1DF0}"/>
            </c:ext>
          </c:extLst>
        </c:ser>
        <c:ser>
          <c:idx val="9"/>
          <c:order val="9"/>
          <c:tx>
            <c:strRef>
              <c:f>Risque!$B$37</c:f>
              <c:strCache>
                <c:ptCount val="1"/>
                <c:pt idx="0">
                  <c:v>Retard dans le développement IEC61499 (EAE)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Risque!$C$37:$H$37</c:f>
              <c:numCache>
                <c:formatCode>General</c:formatCode>
                <c:ptCount val="6"/>
                <c:pt idx="0">
                  <c:v>12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C2C-4530-8649-6F8D730D1DF0}"/>
            </c:ext>
          </c:extLst>
        </c:ser>
        <c:ser>
          <c:idx val="10"/>
          <c:order val="10"/>
          <c:tx>
            <c:strRef>
              <c:f>Risque!$B$38</c:f>
              <c:strCache>
                <c:ptCount val="1"/>
                <c:pt idx="0">
                  <c:v>Probabilité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Risque!$C$38:$H$38</c:f>
            </c:numRef>
          </c:val>
          <c:extLst>
            <c:ext xmlns:c16="http://schemas.microsoft.com/office/drawing/2014/chart" uri="{C3380CC4-5D6E-409C-BE32-E72D297353CC}">
              <c16:uniqueId val="{0000000A-DC2C-4530-8649-6F8D730D1DF0}"/>
            </c:ext>
          </c:extLst>
        </c:ser>
        <c:ser>
          <c:idx val="11"/>
          <c:order val="11"/>
          <c:tx>
            <c:strRef>
              <c:f>Risque!$B$39</c:f>
              <c:strCache>
                <c:ptCount val="1"/>
                <c:pt idx="0">
                  <c:v>Impact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Risque!$C$39:$H$39</c:f>
            </c:numRef>
          </c:val>
          <c:extLst>
            <c:ext xmlns:c16="http://schemas.microsoft.com/office/drawing/2014/chart" uri="{C3380CC4-5D6E-409C-BE32-E72D297353CC}">
              <c16:uniqueId val="{0000000B-DC2C-4530-8649-6F8D730D1DF0}"/>
            </c:ext>
          </c:extLst>
        </c:ser>
        <c:ser>
          <c:idx val="12"/>
          <c:order val="12"/>
          <c:tx>
            <c:strRef>
              <c:f>Risque!$B$40</c:f>
              <c:strCache>
                <c:ptCount val="1"/>
                <c:pt idx="0">
                  <c:v>Manque de documentation Schneider / IEC61499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Risque!$C$40:$H$40</c:f>
              <c:numCache>
                <c:formatCode>General</c:formatCode>
                <c:ptCount val="6"/>
                <c:pt idx="0">
                  <c:v>12</c:v>
                </c:pt>
                <c:pt idx="1">
                  <c:v>12</c:v>
                </c:pt>
                <c:pt idx="2">
                  <c:v>9</c:v>
                </c:pt>
                <c:pt idx="3">
                  <c:v>12</c:v>
                </c:pt>
                <c:pt idx="4">
                  <c:v>9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C2C-4530-8649-6F8D730D1DF0}"/>
            </c:ext>
          </c:extLst>
        </c:ser>
        <c:ser>
          <c:idx val="13"/>
          <c:order val="13"/>
          <c:tx>
            <c:strRef>
              <c:f>Risque!$B$41</c:f>
              <c:strCache>
                <c:ptCount val="1"/>
                <c:pt idx="0">
                  <c:v>Probabilité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Risque!$C$41:$H$41</c:f>
            </c:numRef>
          </c:val>
          <c:extLst>
            <c:ext xmlns:c16="http://schemas.microsoft.com/office/drawing/2014/chart" uri="{C3380CC4-5D6E-409C-BE32-E72D297353CC}">
              <c16:uniqueId val="{0000000D-DC2C-4530-8649-6F8D730D1DF0}"/>
            </c:ext>
          </c:extLst>
        </c:ser>
        <c:ser>
          <c:idx val="14"/>
          <c:order val="14"/>
          <c:tx>
            <c:strRef>
              <c:f>Risque!$B$42</c:f>
              <c:strCache>
                <c:ptCount val="1"/>
                <c:pt idx="0">
                  <c:v>Impact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Risque!$C$42:$H$42</c:f>
            </c:numRef>
          </c:val>
          <c:extLst>
            <c:ext xmlns:c16="http://schemas.microsoft.com/office/drawing/2014/chart" uri="{C3380CC4-5D6E-409C-BE32-E72D297353CC}">
              <c16:uniqueId val="{0000000E-DC2C-4530-8649-6F8D730D1DF0}"/>
            </c:ext>
          </c:extLst>
        </c:ser>
        <c:ser>
          <c:idx val="15"/>
          <c:order val="15"/>
          <c:tx>
            <c:strRef>
              <c:f>Risque!$B$43</c:f>
              <c:strCache>
                <c:ptCount val="1"/>
                <c:pt idx="0">
                  <c:v>Communication inefficace avec encadrants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Risque!$C$43:$H$43</c:f>
              <c:numCache>
                <c:formatCode>General</c:formatCode>
                <c:ptCount val="6"/>
                <c:pt idx="0">
                  <c:v>12</c:v>
                </c:pt>
                <c:pt idx="1">
                  <c:v>9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C2C-4530-8649-6F8D730D1DF0}"/>
            </c:ext>
          </c:extLst>
        </c:ser>
        <c:ser>
          <c:idx val="16"/>
          <c:order val="16"/>
          <c:tx>
            <c:strRef>
              <c:f>Risque!$B$44</c:f>
              <c:strCache>
                <c:ptCount val="1"/>
                <c:pt idx="0">
                  <c:v>Probabilité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Risque!$C$44:$H$44</c:f>
            </c:numRef>
          </c:val>
          <c:extLst>
            <c:ext xmlns:c16="http://schemas.microsoft.com/office/drawing/2014/chart" uri="{C3380CC4-5D6E-409C-BE32-E72D297353CC}">
              <c16:uniqueId val="{00000010-DC2C-4530-8649-6F8D730D1DF0}"/>
            </c:ext>
          </c:extLst>
        </c:ser>
        <c:ser>
          <c:idx val="17"/>
          <c:order val="17"/>
          <c:tx>
            <c:strRef>
              <c:f>Risque!$B$45</c:f>
              <c:strCache>
                <c:ptCount val="1"/>
                <c:pt idx="0">
                  <c:v>Impact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Risque!$C$45:$H$45</c:f>
            </c:numRef>
          </c:val>
          <c:extLst>
            <c:ext xmlns:c16="http://schemas.microsoft.com/office/drawing/2014/chart" uri="{C3380CC4-5D6E-409C-BE32-E72D297353CC}">
              <c16:uniqueId val="{00000011-DC2C-4530-8649-6F8D730D1DF0}"/>
            </c:ext>
          </c:extLst>
        </c:ser>
        <c:ser>
          <c:idx val="18"/>
          <c:order val="18"/>
          <c:tx>
            <c:strRef>
              <c:f>Risque!$B$46</c:f>
              <c:strCache>
                <c:ptCount val="1"/>
                <c:pt idx="0">
                  <c:v>Incompatibilité / bugs Factory IO – SoftPLC – EAE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Risque!$C$46:$H$46</c:f>
              <c:numCache>
                <c:formatCode>General</c:formatCode>
                <c:ptCount val="6"/>
                <c:pt idx="0">
                  <c:v>10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C2C-4530-8649-6F8D730D1DF0}"/>
            </c:ext>
          </c:extLst>
        </c:ser>
        <c:ser>
          <c:idx val="19"/>
          <c:order val="19"/>
          <c:tx>
            <c:strRef>
              <c:f>Risque!$B$47</c:f>
              <c:strCache>
                <c:ptCount val="1"/>
                <c:pt idx="0">
                  <c:v>Probabilité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Risque!$C$47:$H$47</c:f>
            </c:numRef>
          </c:val>
          <c:extLst>
            <c:ext xmlns:c16="http://schemas.microsoft.com/office/drawing/2014/chart" uri="{C3380CC4-5D6E-409C-BE32-E72D297353CC}">
              <c16:uniqueId val="{00000013-DC2C-4530-8649-6F8D730D1DF0}"/>
            </c:ext>
          </c:extLst>
        </c:ser>
        <c:ser>
          <c:idx val="20"/>
          <c:order val="20"/>
          <c:tx>
            <c:strRef>
              <c:f>Risque!$B$48</c:f>
              <c:strCache>
                <c:ptCount val="1"/>
                <c:pt idx="0">
                  <c:v>Impact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Risque!$C$48:$H$48</c:f>
            </c:numRef>
          </c:val>
          <c:extLst>
            <c:ext xmlns:c16="http://schemas.microsoft.com/office/drawing/2014/chart" uri="{C3380CC4-5D6E-409C-BE32-E72D297353CC}">
              <c16:uniqueId val="{00000014-DC2C-4530-8649-6F8D730D1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874137855"/>
        <c:axId val="874142175"/>
      </c:barChart>
      <c:catAx>
        <c:axId val="87413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4142175"/>
        <c:crosses val="autoZero"/>
        <c:auto val="1"/>
        <c:lblAlgn val="ctr"/>
        <c:lblOffset val="100"/>
        <c:noMultiLvlLbl val="0"/>
      </c:catAx>
      <c:valAx>
        <c:axId val="87414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413785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Analyse</a:t>
            </a:r>
            <a:r>
              <a:rPr lang="fr-FR" baseline="0"/>
              <a:t> des risques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Risque!$E$2</c:f>
              <c:strCache>
                <c:ptCount val="1"/>
                <c:pt idx="0">
                  <c:v>Avant Analyse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Risque!$B$3:$B$9</c:f>
              <c:strCache>
                <c:ptCount val="7"/>
                <c:pt idx="0">
                  <c:v>Difficulté configuration Modbus TCP (SoftPLC ↔ Factory I/O)</c:v>
                </c:pt>
                <c:pt idx="1">
                  <c:v>Synchronisation instable entre événements EAE et Factory IO</c:v>
                </c:pt>
                <c:pt idx="2">
                  <c:v>Complexité CAT / Blocs EAE (REQ/CNF, événements mal chaînés)</c:v>
                </c:pt>
                <c:pt idx="3">
                  <c:v>Retard dans le développement IEC61499 (EAE)</c:v>
                </c:pt>
                <c:pt idx="4">
                  <c:v>Manque de documentation Schneider / IEC61499</c:v>
                </c:pt>
                <c:pt idx="5">
                  <c:v>Communication inefficace avec encadrants</c:v>
                </c:pt>
                <c:pt idx="6">
                  <c:v>Incompatibilité / bugs Factory IO – SoftPLC – EAE</c:v>
                </c:pt>
              </c:strCache>
            </c:strRef>
          </c:cat>
          <c:val>
            <c:numRef>
              <c:f>Risque!$E$3:$E$9</c:f>
              <c:numCache>
                <c:formatCode>General</c:formatCode>
                <c:ptCount val="7"/>
                <c:pt idx="0">
                  <c:v>12</c:v>
                </c:pt>
                <c:pt idx="1">
                  <c:v>16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6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2-4535-862B-BA6248E5E7D3}"/>
            </c:ext>
          </c:extLst>
        </c:ser>
        <c:ser>
          <c:idx val="1"/>
          <c:order val="1"/>
          <c:tx>
            <c:strRef>
              <c:f>Risque!$H$2</c:f>
              <c:strCache>
                <c:ptCount val="1"/>
                <c:pt idx="0">
                  <c:v>Après Analyse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Risque!$B$3:$B$9</c:f>
              <c:strCache>
                <c:ptCount val="7"/>
                <c:pt idx="0">
                  <c:v>Difficulté configuration Modbus TCP (SoftPLC ↔ Factory I/O)</c:v>
                </c:pt>
                <c:pt idx="1">
                  <c:v>Synchronisation instable entre événements EAE et Factory IO</c:v>
                </c:pt>
                <c:pt idx="2">
                  <c:v>Complexité CAT / Blocs EAE (REQ/CNF, événements mal chaînés)</c:v>
                </c:pt>
                <c:pt idx="3">
                  <c:v>Retard dans le développement IEC61499 (EAE)</c:v>
                </c:pt>
                <c:pt idx="4">
                  <c:v>Manque de documentation Schneider / IEC61499</c:v>
                </c:pt>
                <c:pt idx="5">
                  <c:v>Communication inefficace avec encadrants</c:v>
                </c:pt>
                <c:pt idx="6">
                  <c:v>Incompatibilité / bugs Factory IO – SoftPLC – EAE</c:v>
                </c:pt>
              </c:strCache>
            </c:strRef>
          </c:cat>
          <c:val>
            <c:numRef>
              <c:f>Risque!$H$3:$H$9</c:f>
              <c:numCache>
                <c:formatCode>General</c:formatCode>
                <c:ptCount val="7"/>
                <c:pt idx="0">
                  <c:v>8</c:v>
                </c:pt>
                <c:pt idx="1">
                  <c:v>6</c:v>
                </c:pt>
                <c:pt idx="2">
                  <c:v>6</c:v>
                </c:pt>
                <c:pt idx="3">
                  <c:v>9</c:v>
                </c:pt>
                <c:pt idx="4">
                  <c:v>4</c:v>
                </c:pt>
                <c:pt idx="5">
                  <c:v>3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92-4535-862B-BA6248E5E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4174815"/>
        <c:axId val="874192575"/>
      </c:barChart>
      <c:catAx>
        <c:axId val="87417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4192575"/>
        <c:crosses val="autoZero"/>
        <c:auto val="1"/>
        <c:lblAlgn val="ctr"/>
        <c:lblOffset val="100"/>
        <c:noMultiLvlLbl val="0"/>
      </c:catAx>
      <c:valAx>
        <c:axId val="87419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417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Risque!$B$28</c:f>
              <c:strCache>
                <c:ptCount val="1"/>
                <c:pt idx="0">
                  <c:v>Difficulté configuration Modbus TCP (SoftPLC ↔ Factory I/O)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Risque!$C$28:$H$28</c:f>
              <c:numCache>
                <c:formatCode>General</c:formatCode>
                <c:ptCount val="6"/>
                <c:pt idx="0">
                  <c:v>12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0E-4605-855B-51FF17CE6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3400591"/>
        <c:axId val="1193396271"/>
      </c:lineChart>
      <c:catAx>
        <c:axId val="119340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396271"/>
        <c:crosses val="autoZero"/>
        <c:auto val="1"/>
        <c:lblAlgn val="ctr"/>
        <c:lblOffset val="100"/>
        <c:noMultiLvlLbl val="0"/>
      </c:catAx>
      <c:valAx>
        <c:axId val="119339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40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Risque!$B$31</c:f>
              <c:strCache>
                <c:ptCount val="1"/>
                <c:pt idx="0">
                  <c:v>Synchronisation instable entre événements EAE et Factory 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Risque!$C$31:$H$31</c:f>
              <c:numCache>
                <c:formatCode>General</c:formatCode>
                <c:ptCount val="6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12</c:v>
                </c:pt>
                <c:pt idx="4">
                  <c:v>8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4F-48C9-A457-6A5DF8D46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5058079"/>
        <c:axId val="1265061439"/>
      </c:lineChart>
      <c:catAx>
        <c:axId val="126505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5061439"/>
        <c:crosses val="autoZero"/>
        <c:auto val="1"/>
        <c:lblAlgn val="ctr"/>
        <c:lblOffset val="100"/>
        <c:noMultiLvlLbl val="0"/>
      </c:catAx>
      <c:valAx>
        <c:axId val="126506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505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Risque!$B$34</c:f>
              <c:strCache>
                <c:ptCount val="1"/>
                <c:pt idx="0">
                  <c:v>Complexité CAT / Blocs EAE (REQ/CNF, événements mal chaînés)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Risque!$C$34:$H$34</c:f>
              <c:numCache>
                <c:formatCode>General</c:formatCode>
                <c:ptCount val="6"/>
                <c:pt idx="0">
                  <c:v>15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2-41B5-B6CB-36CEF9626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5010559"/>
        <c:axId val="1265012479"/>
      </c:lineChart>
      <c:catAx>
        <c:axId val="126501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5012479"/>
        <c:crosses val="autoZero"/>
        <c:auto val="1"/>
        <c:lblAlgn val="ctr"/>
        <c:lblOffset val="100"/>
        <c:noMultiLvlLbl val="0"/>
      </c:catAx>
      <c:valAx>
        <c:axId val="126501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501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Risque!$B$37</c:f>
              <c:strCache>
                <c:ptCount val="1"/>
                <c:pt idx="0">
                  <c:v>Retard dans le développement IEC61499 (EAE)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Risque!$C$37:$H$37</c:f>
              <c:numCache>
                <c:formatCode>General</c:formatCode>
                <c:ptCount val="6"/>
                <c:pt idx="0">
                  <c:v>12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72-437F-8B20-6DB86039C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5035039"/>
        <c:axId val="1265031679"/>
      </c:lineChart>
      <c:catAx>
        <c:axId val="126503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5031679"/>
        <c:crosses val="autoZero"/>
        <c:auto val="1"/>
        <c:lblAlgn val="ctr"/>
        <c:lblOffset val="100"/>
        <c:noMultiLvlLbl val="0"/>
      </c:catAx>
      <c:valAx>
        <c:axId val="126503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503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Risque!$B$40</c:f>
              <c:strCache>
                <c:ptCount val="1"/>
                <c:pt idx="0">
                  <c:v>Manque de documentation Schneider / IEC61499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Risque!$C$40:$H$40</c:f>
              <c:numCache>
                <c:formatCode>General</c:formatCode>
                <c:ptCount val="6"/>
                <c:pt idx="0">
                  <c:v>12</c:v>
                </c:pt>
                <c:pt idx="1">
                  <c:v>12</c:v>
                </c:pt>
                <c:pt idx="2">
                  <c:v>9</c:v>
                </c:pt>
                <c:pt idx="3">
                  <c:v>12</c:v>
                </c:pt>
                <c:pt idx="4">
                  <c:v>9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84-4A70-B284-62A8D8288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2442064"/>
        <c:axId val="2142437264"/>
      </c:lineChart>
      <c:catAx>
        <c:axId val="214244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42437264"/>
        <c:crosses val="autoZero"/>
        <c:auto val="1"/>
        <c:lblAlgn val="ctr"/>
        <c:lblOffset val="100"/>
        <c:noMultiLvlLbl val="0"/>
      </c:catAx>
      <c:valAx>
        <c:axId val="214243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4244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Risque!$B$43</c:f>
              <c:strCache>
                <c:ptCount val="1"/>
                <c:pt idx="0">
                  <c:v>Communication inefficace avec encadrants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Risque!$C$43:$H$43</c:f>
              <c:numCache>
                <c:formatCode>General</c:formatCode>
                <c:ptCount val="6"/>
                <c:pt idx="0">
                  <c:v>12</c:v>
                </c:pt>
                <c:pt idx="1">
                  <c:v>9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F-47CC-986C-65AC3FD2F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2444464"/>
        <c:axId val="2142438704"/>
      </c:lineChart>
      <c:catAx>
        <c:axId val="214244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42438704"/>
        <c:crosses val="autoZero"/>
        <c:auto val="1"/>
        <c:lblAlgn val="ctr"/>
        <c:lblOffset val="100"/>
        <c:noMultiLvlLbl val="0"/>
      </c:catAx>
      <c:valAx>
        <c:axId val="214243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4244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Risque!$B$46</c:f>
              <c:strCache>
                <c:ptCount val="1"/>
                <c:pt idx="0">
                  <c:v>Incompatibilité / bugs Factory IO – SoftPLC – EAE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Risque!$C$27:$H$27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Risque!$C$46:$H$46</c:f>
              <c:numCache>
                <c:formatCode>General</c:formatCode>
                <c:ptCount val="6"/>
                <c:pt idx="0">
                  <c:v>10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BD-4C0B-880A-ADAB9B843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2424304"/>
        <c:axId val="2142425264"/>
      </c:lineChart>
      <c:catAx>
        <c:axId val="214242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42425264"/>
        <c:crosses val="autoZero"/>
        <c:auto val="1"/>
        <c:lblAlgn val="ctr"/>
        <c:lblOffset val="100"/>
        <c:noMultiLvlLbl val="0"/>
      </c:catAx>
      <c:valAx>
        <c:axId val="214242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4242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49</xdr:row>
      <xdr:rowOff>44450</xdr:rowOff>
    </xdr:from>
    <xdr:to>
      <xdr:col>5</xdr:col>
      <xdr:colOff>117475</xdr:colOff>
      <xdr:row>64</xdr:row>
      <xdr:rowOff>25400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26754CE-808C-11EE-50BE-969F6769A2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1765675</xdr:colOff>
      <xdr:row>9</xdr:row>
      <xdr:rowOff>127000</xdr:rowOff>
    </xdr:from>
    <xdr:to>
      <xdr:col>4</xdr:col>
      <xdr:colOff>1231388</xdr:colOff>
      <xdr:row>24</xdr:row>
      <xdr:rowOff>107950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8D5F66C8-8D3A-BDE2-49F5-BB9109A21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251823</xdr:colOff>
      <xdr:row>49</xdr:row>
      <xdr:rowOff>31494</xdr:rowOff>
    </xdr:from>
    <xdr:to>
      <xdr:col>10</xdr:col>
      <xdr:colOff>728165</xdr:colOff>
      <xdr:row>63</xdr:row>
      <xdr:rowOff>165283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FF5D3514-AC82-6E42-DE60-E59C3E0CD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138546</xdr:colOff>
      <xdr:row>64</xdr:row>
      <xdr:rowOff>129309</xdr:rowOff>
    </xdr:from>
    <xdr:to>
      <xdr:col>5</xdr:col>
      <xdr:colOff>99580</xdr:colOff>
      <xdr:row>79</xdr:row>
      <xdr:rowOff>58304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A53BF782-D4F4-E839-B1C6-9907F7BD2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261216</xdr:colOff>
      <xdr:row>64</xdr:row>
      <xdr:rowOff>122094</xdr:rowOff>
    </xdr:from>
    <xdr:to>
      <xdr:col>10</xdr:col>
      <xdr:colOff>749012</xdr:colOff>
      <xdr:row>79</xdr:row>
      <xdr:rowOff>51089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C8335590-1001-BF61-B536-A7292984D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896217</xdr:colOff>
      <xdr:row>49</xdr:row>
      <xdr:rowOff>64366</xdr:rowOff>
    </xdr:from>
    <xdr:to>
      <xdr:col>14</xdr:col>
      <xdr:colOff>936626</xdr:colOff>
      <xdr:row>63</xdr:row>
      <xdr:rowOff>180975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62772551-026C-AD2A-F8B4-0B5DEB974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896217</xdr:colOff>
      <xdr:row>64</xdr:row>
      <xdr:rowOff>107662</xdr:rowOff>
    </xdr:from>
    <xdr:to>
      <xdr:col>14</xdr:col>
      <xdr:colOff>936626</xdr:colOff>
      <xdr:row>79</xdr:row>
      <xdr:rowOff>36657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C172EB7-87D0-791B-4634-159E14B53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167409</xdr:colOff>
      <xdr:row>49</xdr:row>
      <xdr:rowOff>49933</xdr:rowOff>
    </xdr:from>
    <xdr:to>
      <xdr:col>22</xdr:col>
      <xdr:colOff>150090</xdr:colOff>
      <xdr:row>63</xdr:row>
      <xdr:rowOff>166542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937A26D-8F56-53C1-83A3-00384B609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167409</xdr:colOff>
      <xdr:row>64</xdr:row>
      <xdr:rowOff>114877</xdr:rowOff>
    </xdr:from>
    <xdr:to>
      <xdr:col>22</xdr:col>
      <xdr:colOff>150090</xdr:colOff>
      <xdr:row>79</xdr:row>
      <xdr:rowOff>43872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C1F29D7-C6BC-794E-AB76-122E558CA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89F652-B046-49FD-92C3-2DAD710B749B}" name="Tableau4" displayName="Tableau4" ref="B27:H48" totalsRowShown="0" headerRowDxfId="8" dataDxfId="7">
  <autoFilter ref="B27:H48" xr:uid="{2B89F652-B046-49FD-92C3-2DAD710B749B}">
    <filterColumn colId="0">
      <filters>
        <filter val="Accessibilité de la maquette"/>
        <filter val="Communication inefficace"/>
        <filter val="Défaut de l'existant"/>
        <filter val="Délais matériel"/>
        <filter val="Manque de documentation"/>
        <filter val="Problème de matériel"/>
        <filter val="Risques externes"/>
      </filters>
    </filterColumn>
  </autoFilter>
  <tableColumns count="7">
    <tableColumn id="1" xr3:uid="{CC074811-703C-4C7D-966B-7685B05335E9}" name="Risques" dataDxfId="6"/>
    <tableColumn id="2" xr3:uid="{6BCA1E96-A47E-49B7-83EE-F552A55D6C47}" name="Septembre" dataDxfId="5">
      <calculatedColumnFormula>C29*C30</calculatedColumnFormula>
    </tableColumn>
    <tableColumn id="3" xr3:uid="{D1494690-55B8-43D2-916F-C856EB0EBD02}" name="Octobre" dataDxfId="4"/>
    <tableColumn id="4" xr3:uid="{EB521692-E17E-4E26-A13B-EFEE26D5CC3F}" name="Novembre" dataDxfId="3"/>
    <tableColumn id="5" xr3:uid="{82D5604E-F7CC-4F0E-9B48-01BF3ECA1CB9}" name="Décembre" dataDxfId="2"/>
    <tableColumn id="6" xr3:uid="{09A75750-0B6A-44D3-8CC3-38FFD2F79467}" name="Janvier" dataDxfId="1"/>
    <tableColumn id="7" xr3:uid="{A3FE9F95-3B89-4E52-925D-4DEFF5CF2850}" name="Févri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tabSelected="1" zoomScale="93" zoomScaleNormal="100" workbookViewId="0">
      <selection activeCell="J19" sqref="J19"/>
    </sheetView>
  </sheetViews>
  <sheetFormatPr baseColWidth="10" defaultColWidth="8.6640625" defaultRowHeight="15" x14ac:dyDescent="0.2"/>
  <cols>
    <col min="2" max="2" width="48" bestFit="1" customWidth="1"/>
    <col min="3" max="4" width="11.83203125" customWidth="1"/>
    <col min="5" max="5" width="17.5" customWidth="1"/>
    <col min="6" max="7" width="11.83203125" customWidth="1"/>
    <col min="8" max="8" width="17.5" customWidth="1"/>
    <col min="11" max="11" width="24" customWidth="1"/>
    <col min="12" max="16" width="13.6640625" customWidth="1"/>
  </cols>
  <sheetData>
    <row r="1" spans="1:16" x14ac:dyDescent="0.2">
      <c r="B1" s="14" t="s">
        <v>20</v>
      </c>
      <c r="C1" s="14"/>
      <c r="D1" s="14"/>
      <c r="E1" s="14"/>
      <c r="F1" s="14"/>
      <c r="G1" s="14"/>
      <c r="H1" s="14"/>
    </row>
    <row r="2" spans="1:16" ht="20" thickBot="1" x14ac:dyDescent="0.3">
      <c r="A2" s="2" t="s">
        <v>23</v>
      </c>
      <c r="B2" s="2" t="s">
        <v>0</v>
      </c>
      <c r="C2" s="3" t="s">
        <v>9</v>
      </c>
      <c r="D2" s="3" t="s">
        <v>21</v>
      </c>
      <c r="E2" s="3" t="s">
        <v>1</v>
      </c>
      <c r="F2" s="3" t="s">
        <v>9</v>
      </c>
      <c r="G2" s="3" t="s">
        <v>21</v>
      </c>
      <c r="H2" s="3" t="s">
        <v>2</v>
      </c>
      <c r="L2" s="15" t="s">
        <v>21</v>
      </c>
      <c r="M2" s="15"/>
      <c r="N2" s="15"/>
      <c r="O2" s="15"/>
      <c r="P2" s="15"/>
    </row>
    <row r="3" spans="1:16" ht="16" thickTop="1" x14ac:dyDescent="0.2">
      <c r="A3" s="4" t="s">
        <v>24</v>
      </c>
      <c r="B3" s="4" t="s">
        <v>31</v>
      </c>
      <c r="C3" s="5">
        <v>3</v>
      </c>
      <c r="D3" s="5">
        <v>4</v>
      </c>
      <c r="E3" s="5">
        <f>C3*D3</f>
        <v>12</v>
      </c>
      <c r="F3" s="5">
        <v>2</v>
      </c>
      <c r="G3" s="5">
        <v>4</v>
      </c>
      <c r="H3" s="5">
        <f>F3*G3</f>
        <v>8</v>
      </c>
      <c r="L3" s="10" t="s">
        <v>10</v>
      </c>
      <c r="M3" s="10" t="s">
        <v>12</v>
      </c>
      <c r="N3" s="10" t="s">
        <v>13</v>
      </c>
      <c r="O3" s="10" t="s">
        <v>14</v>
      </c>
      <c r="P3" s="10" t="s">
        <v>11</v>
      </c>
    </row>
    <row r="4" spans="1:16" ht="14.5" customHeight="1" x14ac:dyDescent="0.2">
      <c r="A4" s="6" t="s">
        <v>25</v>
      </c>
      <c r="B4" s="6" t="s">
        <v>32</v>
      </c>
      <c r="C4" s="7">
        <v>4</v>
      </c>
      <c r="D4" s="7">
        <v>4</v>
      </c>
      <c r="E4" s="7">
        <f t="shared" ref="E4:E8" si="0">C4*D4</f>
        <v>16</v>
      </c>
      <c r="F4" s="7">
        <v>3</v>
      </c>
      <c r="G4" s="7">
        <v>2</v>
      </c>
      <c r="H4" s="7">
        <f>F4*G4</f>
        <v>6</v>
      </c>
      <c r="J4" s="16" t="s">
        <v>9</v>
      </c>
      <c r="K4" s="10" t="s">
        <v>15</v>
      </c>
      <c r="L4" s="11">
        <v>5</v>
      </c>
      <c r="M4" s="12">
        <v>10</v>
      </c>
      <c r="N4" s="13">
        <v>15</v>
      </c>
      <c r="O4" s="13">
        <v>20</v>
      </c>
      <c r="P4" s="13">
        <v>25</v>
      </c>
    </row>
    <row r="5" spans="1:16" x14ac:dyDescent="0.2">
      <c r="A5" s="8" t="s">
        <v>26</v>
      </c>
      <c r="B5" s="8" t="s">
        <v>33</v>
      </c>
      <c r="C5" s="1">
        <v>2</v>
      </c>
      <c r="D5" s="1">
        <v>3</v>
      </c>
      <c r="E5" s="1">
        <f t="shared" si="0"/>
        <v>6</v>
      </c>
      <c r="F5" s="1">
        <v>3</v>
      </c>
      <c r="G5" s="1">
        <v>2</v>
      </c>
      <c r="H5" s="1">
        <f t="shared" ref="H5:H9" si="1">F5*G5</f>
        <v>6</v>
      </c>
      <c r="J5" s="16"/>
      <c r="K5" s="10" t="s">
        <v>16</v>
      </c>
      <c r="L5" s="11">
        <v>4</v>
      </c>
      <c r="M5" s="12">
        <v>8</v>
      </c>
      <c r="N5" s="12">
        <v>12</v>
      </c>
      <c r="O5" s="13">
        <v>16</v>
      </c>
      <c r="P5" s="13">
        <v>20</v>
      </c>
    </row>
    <row r="6" spans="1:16" x14ac:dyDescent="0.2">
      <c r="A6" s="6" t="s">
        <v>27</v>
      </c>
      <c r="B6" s="6" t="s">
        <v>34</v>
      </c>
      <c r="C6" s="7">
        <v>3</v>
      </c>
      <c r="D6" s="7">
        <v>3</v>
      </c>
      <c r="E6" s="7">
        <f t="shared" si="0"/>
        <v>9</v>
      </c>
      <c r="F6" s="7">
        <v>3</v>
      </c>
      <c r="G6" s="7">
        <v>3</v>
      </c>
      <c r="H6" s="7">
        <f t="shared" si="1"/>
        <v>9</v>
      </c>
      <c r="J6" s="16"/>
      <c r="K6" s="10" t="s">
        <v>17</v>
      </c>
      <c r="L6" s="11">
        <v>3</v>
      </c>
      <c r="M6" s="11">
        <v>6</v>
      </c>
      <c r="N6" s="12">
        <v>9</v>
      </c>
      <c r="O6" s="12">
        <v>12</v>
      </c>
      <c r="P6" s="13">
        <v>15</v>
      </c>
    </row>
    <row r="7" spans="1:16" x14ac:dyDescent="0.2">
      <c r="A7" s="8" t="s">
        <v>28</v>
      </c>
      <c r="B7" s="8" t="s">
        <v>35</v>
      </c>
      <c r="C7" s="1">
        <v>3</v>
      </c>
      <c r="D7" s="1">
        <v>4</v>
      </c>
      <c r="E7" s="1">
        <f t="shared" si="0"/>
        <v>12</v>
      </c>
      <c r="F7" s="1">
        <v>2</v>
      </c>
      <c r="G7" s="1">
        <v>2</v>
      </c>
      <c r="H7" s="1">
        <f t="shared" si="1"/>
        <v>4</v>
      </c>
      <c r="J7" s="16"/>
      <c r="K7" s="10" t="s">
        <v>18</v>
      </c>
      <c r="L7" s="11">
        <v>2</v>
      </c>
      <c r="M7" s="11">
        <v>4</v>
      </c>
      <c r="N7" s="11">
        <v>6</v>
      </c>
      <c r="O7" s="12">
        <v>8</v>
      </c>
      <c r="P7" s="12">
        <v>10</v>
      </c>
    </row>
    <row r="8" spans="1:16" x14ac:dyDescent="0.2">
      <c r="A8" s="6" t="s">
        <v>29</v>
      </c>
      <c r="B8" s="6" t="s">
        <v>36</v>
      </c>
      <c r="C8" s="7">
        <v>2</v>
      </c>
      <c r="D8" s="7">
        <v>3</v>
      </c>
      <c r="E8" s="7">
        <f t="shared" si="0"/>
        <v>6</v>
      </c>
      <c r="F8" s="7">
        <v>1</v>
      </c>
      <c r="G8" s="7">
        <v>3</v>
      </c>
      <c r="H8" s="7">
        <f t="shared" si="1"/>
        <v>3</v>
      </c>
      <c r="J8" s="16"/>
      <c r="K8" s="10" t="s">
        <v>19</v>
      </c>
      <c r="L8" s="11">
        <v>1</v>
      </c>
      <c r="M8" s="11">
        <v>2</v>
      </c>
      <c r="N8" s="11">
        <v>3</v>
      </c>
      <c r="O8" s="11">
        <v>4</v>
      </c>
      <c r="P8" s="11">
        <v>5</v>
      </c>
    </row>
    <row r="9" spans="1:16" x14ac:dyDescent="0.2">
      <c r="A9" s="8" t="s">
        <v>30</v>
      </c>
      <c r="B9" s="8" t="s">
        <v>37</v>
      </c>
      <c r="C9" s="1">
        <v>2</v>
      </c>
      <c r="D9" s="1">
        <v>5</v>
      </c>
      <c r="E9" s="1">
        <f>C9*D9</f>
        <v>10</v>
      </c>
      <c r="F9" s="1">
        <v>2</v>
      </c>
      <c r="G9" s="1">
        <v>5</v>
      </c>
      <c r="H9" s="1">
        <f t="shared" si="1"/>
        <v>10</v>
      </c>
      <c r="J9" s="9"/>
    </row>
    <row r="26" spans="1:8" x14ac:dyDescent="0.2">
      <c r="B26" s="14" t="s">
        <v>22</v>
      </c>
      <c r="C26" s="14"/>
      <c r="D26" s="14"/>
      <c r="E26" s="14"/>
      <c r="F26" s="14"/>
      <c r="G26" s="14"/>
      <c r="H26" s="14"/>
    </row>
    <row r="27" spans="1:8" ht="16" thickBot="1" x14ac:dyDescent="0.25">
      <c r="A27" s="2" t="s">
        <v>23</v>
      </c>
      <c r="B27" s="2" t="s">
        <v>0</v>
      </c>
      <c r="C27" s="3" t="s">
        <v>3</v>
      </c>
      <c r="D27" s="3" t="s">
        <v>4</v>
      </c>
      <c r="E27" s="3" t="s">
        <v>5</v>
      </c>
      <c r="F27" s="3" t="s">
        <v>6</v>
      </c>
      <c r="G27" s="3" t="s">
        <v>7</v>
      </c>
      <c r="H27" s="3" t="s">
        <v>8</v>
      </c>
    </row>
    <row r="28" spans="1:8" ht="16" thickTop="1" x14ac:dyDescent="0.2">
      <c r="A28" s="4" t="s">
        <v>24</v>
      </c>
      <c r="B28" s="4" t="s">
        <v>31</v>
      </c>
      <c r="C28" s="5">
        <f t="shared" ref="C28:C46" si="2">C29*C30</f>
        <v>12</v>
      </c>
      <c r="D28" s="5">
        <f t="shared" ref="D28" si="3">D29*D30</f>
        <v>4</v>
      </c>
      <c r="E28" s="5">
        <f t="shared" ref="E28" si="4">E29*E30</f>
        <v>2</v>
      </c>
      <c r="F28" s="5">
        <f t="shared" ref="F28" si="5">F29*F30</f>
        <v>2</v>
      </c>
      <c r="G28" s="5">
        <f t="shared" ref="G28:H28" si="6">G29*G30</f>
        <v>2</v>
      </c>
      <c r="H28" s="5">
        <f t="shared" si="6"/>
        <v>2</v>
      </c>
    </row>
    <row r="29" spans="1:8" hidden="1" x14ac:dyDescent="0.2">
      <c r="B29" s="6" t="s">
        <v>9</v>
      </c>
      <c r="C29" s="7">
        <v>3</v>
      </c>
      <c r="D29" s="7">
        <v>2</v>
      </c>
      <c r="E29" s="7">
        <v>1</v>
      </c>
      <c r="F29" s="7">
        <v>1</v>
      </c>
      <c r="G29" s="7">
        <v>1</v>
      </c>
      <c r="H29" s="7">
        <v>1</v>
      </c>
    </row>
    <row r="30" spans="1:8" hidden="1" x14ac:dyDescent="0.2">
      <c r="B30" s="8" t="s">
        <v>21</v>
      </c>
      <c r="C30" s="1">
        <v>4</v>
      </c>
      <c r="D30" s="1">
        <v>2</v>
      </c>
      <c r="E30" s="1">
        <v>2</v>
      </c>
      <c r="F30" s="1">
        <v>2</v>
      </c>
      <c r="G30" s="1">
        <v>2</v>
      </c>
      <c r="H30" s="1">
        <v>2</v>
      </c>
    </row>
    <row r="31" spans="1:8" x14ac:dyDescent="0.2">
      <c r="A31" s="6" t="s">
        <v>25</v>
      </c>
      <c r="B31" s="6" t="s">
        <v>32</v>
      </c>
      <c r="C31" s="7">
        <f t="shared" si="2"/>
        <v>16</v>
      </c>
      <c r="D31" s="7">
        <f t="shared" ref="D31" si="7">D32*D33</f>
        <v>16</v>
      </c>
      <c r="E31" s="7">
        <f t="shared" ref="E31" si="8">E32*E33</f>
        <v>16</v>
      </c>
      <c r="F31" s="7">
        <f t="shared" ref="F31" si="9">F32*F33</f>
        <v>12</v>
      </c>
      <c r="G31" s="7">
        <f t="shared" ref="G31" si="10">G32*G33</f>
        <v>8</v>
      </c>
      <c r="H31" s="7">
        <f t="shared" ref="H31" si="11">H32*H33</f>
        <v>1</v>
      </c>
    </row>
    <row r="32" spans="1:8" hidden="1" x14ac:dyDescent="0.2">
      <c r="B32" s="8" t="s">
        <v>9</v>
      </c>
      <c r="C32" s="1">
        <v>4</v>
      </c>
      <c r="D32" s="1">
        <v>4</v>
      </c>
      <c r="E32" s="1">
        <v>4</v>
      </c>
      <c r="F32" s="1">
        <v>3</v>
      </c>
      <c r="G32" s="1">
        <v>2</v>
      </c>
      <c r="H32" s="1">
        <v>1</v>
      </c>
    </row>
    <row r="33" spans="1:8" hidden="1" x14ac:dyDescent="0.2">
      <c r="B33" s="6" t="s">
        <v>21</v>
      </c>
      <c r="C33" s="7">
        <v>4</v>
      </c>
      <c r="D33" s="7">
        <v>4</v>
      </c>
      <c r="E33" s="7">
        <v>4</v>
      </c>
      <c r="F33" s="7">
        <v>4</v>
      </c>
      <c r="G33" s="7">
        <v>4</v>
      </c>
      <c r="H33" s="7">
        <v>1</v>
      </c>
    </row>
    <row r="34" spans="1:8" x14ac:dyDescent="0.2">
      <c r="A34" s="8" t="s">
        <v>26</v>
      </c>
      <c r="B34" s="8" t="s">
        <v>33</v>
      </c>
      <c r="C34" s="1">
        <f t="shared" si="2"/>
        <v>15</v>
      </c>
      <c r="D34" s="1">
        <f t="shared" ref="D34" si="12">D35*D36</f>
        <v>8</v>
      </c>
      <c r="E34" s="1">
        <f t="shared" ref="E34" si="13">E35*E36</f>
        <v>6</v>
      </c>
      <c r="F34" s="1">
        <f t="shared" ref="F34" si="14">F35*F36</f>
        <v>6</v>
      </c>
      <c r="G34" s="1">
        <f t="shared" ref="G34" si="15">G35*G36</f>
        <v>6</v>
      </c>
      <c r="H34" s="1">
        <f t="shared" ref="H34" si="16">H35*H36</f>
        <v>3</v>
      </c>
    </row>
    <row r="35" spans="1:8" hidden="1" x14ac:dyDescent="0.2">
      <c r="B35" s="6" t="s">
        <v>9</v>
      </c>
      <c r="C35" s="7">
        <v>3</v>
      </c>
      <c r="D35" s="7">
        <v>2</v>
      </c>
      <c r="E35" s="7">
        <v>2</v>
      </c>
      <c r="F35" s="7">
        <v>2</v>
      </c>
      <c r="G35" s="7">
        <v>2</v>
      </c>
      <c r="H35" s="7">
        <v>1</v>
      </c>
    </row>
    <row r="36" spans="1:8" hidden="1" x14ac:dyDescent="0.2">
      <c r="B36" s="8" t="s">
        <v>21</v>
      </c>
      <c r="C36" s="1">
        <v>5</v>
      </c>
      <c r="D36" s="1">
        <v>4</v>
      </c>
      <c r="E36" s="1">
        <v>3</v>
      </c>
      <c r="F36" s="1">
        <v>3</v>
      </c>
      <c r="G36" s="1">
        <v>3</v>
      </c>
      <c r="H36" s="1">
        <v>3</v>
      </c>
    </row>
    <row r="37" spans="1:8" x14ac:dyDescent="0.2">
      <c r="A37" s="6" t="s">
        <v>27</v>
      </c>
      <c r="B37" s="6" t="s">
        <v>34</v>
      </c>
      <c r="C37" s="7">
        <f t="shared" si="2"/>
        <v>12</v>
      </c>
      <c r="D37" s="7">
        <f t="shared" ref="D37" si="17">D38*D39</f>
        <v>4</v>
      </c>
      <c r="E37" s="7">
        <f t="shared" ref="E37" si="18">E38*E39</f>
        <v>4</v>
      </c>
      <c r="F37" s="7">
        <f t="shared" ref="F37" si="19">F38*F39</f>
        <v>4</v>
      </c>
      <c r="G37" s="7">
        <f t="shared" ref="G37" si="20">G38*G39</f>
        <v>4</v>
      </c>
      <c r="H37" s="7">
        <f t="shared" ref="H37" si="21">H38*H39</f>
        <v>4</v>
      </c>
    </row>
    <row r="38" spans="1:8" hidden="1" x14ac:dyDescent="0.2">
      <c r="B38" s="8" t="s">
        <v>9</v>
      </c>
      <c r="C38" s="1">
        <v>3</v>
      </c>
      <c r="D38" s="1">
        <v>2</v>
      </c>
      <c r="E38" s="1">
        <v>2</v>
      </c>
      <c r="F38" s="1">
        <v>2</v>
      </c>
      <c r="G38" s="1">
        <v>2</v>
      </c>
      <c r="H38" s="1">
        <v>2</v>
      </c>
    </row>
    <row r="39" spans="1:8" hidden="1" x14ac:dyDescent="0.2">
      <c r="B39" s="6" t="s">
        <v>21</v>
      </c>
      <c r="C39" s="7">
        <v>4</v>
      </c>
      <c r="D39" s="7">
        <v>2</v>
      </c>
      <c r="E39" s="7">
        <v>2</v>
      </c>
      <c r="F39" s="7">
        <v>2</v>
      </c>
      <c r="G39" s="7">
        <v>2</v>
      </c>
      <c r="H39" s="7">
        <v>2</v>
      </c>
    </row>
    <row r="40" spans="1:8" x14ac:dyDescent="0.2">
      <c r="A40" s="8" t="s">
        <v>28</v>
      </c>
      <c r="B40" s="8" t="s">
        <v>35</v>
      </c>
      <c r="C40" s="1">
        <f t="shared" si="2"/>
        <v>12</v>
      </c>
      <c r="D40" s="1">
        <f t="shared" ref="D40" si="22">D41*D42</f>
        <v>12</v>
      </c>
      <c r="E40" s="1">
        <f t="shared" ref="E40" si="23">E41*E42</f>
        <v>9</v>
      </c>
      <c r="F40" s="1">
        <f t="shared" ref="F40" si="24">F41*F42</f>
        <v>12</v>
      </c>
      <c r="G40" s="1">
        <f t="shared" ref="G40" si="25">G41*G42</f>
        <v>9</v>
      </c>
      <c r="H40" s="1">
        <f t="shared" ref="H40" si="26">H41*H42</f>
        <v>3</v>
      </c>
    </row>
    <row r="41" spans="1:8" hidden="1" x14ac:dyDescent="0.2">
      <c r="B41" s="6" t="s">
        <v>9</v>
      </c>
      <c r="C41" s="7">
        <v>4</v>
      </c>
      <c r="D41" s="7">
        <v>4</v>
      </c>
      <c r="E41" s="7">
        <v>3</v>
      </c>
      <c r="F41" s="7">
        <v>4</v>
      </c>
      <c r="G41" s="7">
        <v>3</v>
      </c>
      <c r="H41" s="7">
        <v>1</v>
      </c>
    </row>
    <row r="42" spans="1:8" hidden="1" x14ac:dyDescent="0.2">
      <c r="B42" s="8" t="s">
        <v>21</v>
      </c>
      <c r="C42" s="1">
        <v>3</v>
      </c>
      <c r="D42" s="1">
        <v>3</v>
      </c>
      <c r="E42" s="1">
        <v>3</v>
      </c>
      <c r="F42" s="1">
        <v>3</v>
      </c>
      <c r="G42" s="1">
        <v>3</v>
      </c>
      <c r="H42" s="1">
        <v>3</v>
      </c>
    </row>
    <row r="43" spans="1:8" x14ac:dyDescent="0.2">
      <c r="A43" s="6" t="s">
        <v>29</v>
      </c>
      <c r="B43" s="6" t="s">
        <v>36</v>
      </c>
      <c r="C43" s="7">
        <f t="shared" si="2"/>
        <v>12</v>
      </c>
      <c r="D43" s="7">
        <f t="shared" ref="D43" si="27">D44*D45</f>
        <v>9</v>
      </c>
      <c r="E43" s="7">
        <f t="shared" ref="E43" si="28">E44*E45</f>
        <v>6</v>
      </c>
      <c r="F43" s="7">
        <f t="shared" ref="F43" si="29">F44*F45</f>
        <v>6</v>
      </c>
      <c r="G43" s="7">
        <f t="shared" ref="G43" si="30">G44*G45</f>
        <v>6</v>
      </c>
      <c r="H43" s="7">
        <f t="shared" ref="H43" si="31">H44*H45</f>
        <v>3</v>
      </c>
    </row>
    <row r="44" spans="1:8" hidden="1" x14ac:dyDescent="0.2">
      <c r="B44" s="8" t="s">
        <v>9</v>
      </c>
      <c r="C44" s="1">
        <v>4</v>
      </c>
      <c r="D44" s="1">
        <v>3</v>
      </c>
      <c r="E44" s="1">
        <v>2</v>
      </c>
      <c r="F44" s="1">
        <v>2</v>
      </c>
      <c r="G44" s="1">
        <v>2</v>
      </c>
      <c r="H44" s="1">
        <v>1</v>
      </c>
    </row>
    <row r="45" spans="1:8" hidden="1" x14ac:dyDescent="0.2">
      <c r="B45" s="6" t="s">
        <v>21</v>
      </c>
      <c r="C45" s="7">
        <v>3</v>
      </c>
      <c r="D45" s="7">
        <v>3</v>
      </c>
      <c r="E45" s="7">
        <v>3</v>
      </c>
      <c r="F45" s="7">
        <v>3</v>
      </c>
      <c r="G45" s="7">
        <v>3</v>
      </c>
      <c r="H45" s="7">
        <v>3</v>
      </c>
    </row>
    <row r="46" spans="1:8" x14ac:dyDescent="0.2">
      <c r="A46" s="8" t="s">
        <v>30</v>
      </c>
      <c r="B46" s="8" t="s">
        <v>37</v>
      </c>
      <c r="C46" s="1">
        <f t="shared" si="2"/>
        <v>10</v>
      </c>
      <c r="D46" s="1">
        <f>D47*D48</f>
        <v>5</v>
      </c>
      <c r="E46" s="1">
        <f t="shared" ref="E46" si="32">E47*E48</f>
        <v>5</v>
      </c>
      <c r="F46" s="1">
        <f t="shared" ref="F46" si="33">F47*F48</f>
        <v>5</v>
      </c>
      <c r="G46" s="1">
        <f t="shared" ref="G46" si="34">G47*G48</f>
        <v>5</v>
      </c>
      <c r="H46" s="1">
        <f t="shared" ref="H46" si="35">H47*H48</f>
        <v>5</v>
      </c>
    </row>
    <row r="47" spans="1:8" hidden="1" x14ac:dyDescent="0.2">
      <c r="B47" s="6" t="s">
        <v>9</v>
      </c>
      <c r="C47" s="7">
        <v>2</v>
      </c>
      <c r="D47" s="7">
        <v>1</v>
      </c>
      <c r="E47" s="7">
        <v>1</v>
      </c>
      <c r="F47" s="7">
        <v>1</v>
      </c>
      <c r="G47" s="7">
        <v>1</v>
      </c>
      <c r="H47" s="7">
        <v>1</v>
      </c>
    </row>
    <row r="48" spans="1:8" hidden="1" x14ac:dyDescent="0.2">
      <c r="B48" s="8" t="s">
        <v>21</v>
      </c>
      <c r="C48" s="1">
        <v>5</v>
      </c>
      <c r="D48" s="1">
        <v>5</v>
      </c>
      <c r="E48" s="1">
        <v>5</v>
      </c>
      <c r="F48" s="1">
        <v>5</v>
      </c>
      <c r="G48" s="1">
        <v>5</v>
      </c>
      <c r="H48" s="1">
        <v>5</v>
      </c>
    </row>
  </sheetData>
  <mergeCells count="4">
    <mergeCell ref="B26:H26"/>
    <mergeCell ref="L2:P2"/>
    <mergeCell ref="J4:J8"/>
    <mergeCell ref="B1:H1"/>
  </mergeCells>
  <phoneticPr fontId="3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16150599-ebb0-4fcf-94a5-6010823c7bd5}" enabled="0" method="" siteId="{16150599-ebb0-4fcf-94a5-6010823c7bd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Risque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Pierrick Ledys</dc:creator>
  <cp:lastModifiedBy>Damien Lorigeon</cp:lastModifiedBy>
  <dcterms:created xsi:type="dcterms:W3CDTF">2015-06-05T18:19:34Z</dcterms:created>
  <dcterms:modified xsi:type="dcterms:W3CDTF">2025-12-02T16:36:00Z</dcterms:modified>
</cp:coreProperties>
</file>