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wnloads/"/>
    </mc:Choice>
  </mc:AlternateContent>
  <xr:revisionPtr revIDLastSave="0" documentId="13_ncr:1_{18F3C924-D57D-C849-B575-C4F11E0832BE}" xr6:coauthVersionLast="47" xr6:coauthVersionMax="47" xr10:uidLastSave="{00000000-0000-0000-0000-000000000000}"/>
  <bookViews>
    <workbookView xWindow="0" yWindow="1040" windowWidth="28800" windowHeight="16260" activeTab="7" xr2:uid="{00000000-000D-0000-FFFF-FFFF00000000}"/>
  </bookViews>
  <sheets>
    <sheet name="Synthèse" sheetId="1" r:id="rId1"/>
    <sheet name="1-Difficulté programmation" sheetId="2" r:id="rId2"/>
    <sheet name="2-Méthode construction" sheetId="3" r:id="rId3"/>
    <sheet name="3-Maintenance diagnostic" sheetId="4" r:id="rId4"/>
    <sheet name="4-Capacité explication" sheetId="5" r:id="rId5"/>
    <sheet name="5-Flexibilité" sheetId="6" r:id="rId6"/>
    <sheet name="Conclusion" sheetId="7" r:id="rId7"/>
    <sheet name="Guide utilis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B10" i="7"/>
  <c r="D10" i="7" s="1"/>
  <c r="G13" i="6"/>
  <c r="F13" i="6"/>
  <c r="G13" i="5"/>
  <c r="F13" i="5"/>
  <c r="G13" i="4"/>
  <c r="F13" i="4"/>
  <c r="G13" i="3"/>
  <c r="F13" i="3"/>
  <c r="G13" i="2"/>
  <c r="F13" i="2"/>
  <c r="F11" i="1"/>
  <c r="E11" i="1"/>
</calcChain>
</file>

<file path=xl/sharedStrings.xml><?xml version="1.0" encoding="utf-8"?>
<sst xmlns="http://schemas.openxmlformats.org/spreadsheetml/2006/main" count="324" uniqueCount="245">
  <si>
    <t>TABLEAU COMPARATIF IEC 61131-3 vs IEC 61499</t>
  </si>
  <si>
    <t>Projet PRI IEC61499 - Universal Automation - Polytech Tours 2025-2026</t>
  </si>
  <si>
    <t>SYNTHÈSE GLOBALE PAR CRITÈRE</t>
  </si>
  <si>
    <t>Critère</t>
  </si>
  <si>
    <t>IEC 61131-3 (ECE)</t>
  </si>
  <si>
    <t>IEC 61499 (EAE)</t>
  </si>
  <si>
    <t>Avantage</t>
  </si>
  <si>
    <t>Score 61131</t>
  </si>
  <si>
    <t>Score 61499</t>
  </si>
  <si>
    <t>Commentaire</t>
  </si>
  <si>
    <t>1. Difficulté de programmation</t>
  </si>
  <si>
    <t>SFC natif, documentation abondante, prise en main rapide</t>
  </si>
  <si>
    <t>Courbe d'apprentissage importante, peu de doc, mais logique événementielle pertinente</t>
  </si>
  <si>
    <t>61131</t>
  </si>
  <si>
    <t>Condition ET difficile en événementiel (défaut pièces bleues)</t>
  </si>
  <si>
    <t>2. Méthode de construction</t>
  </si>
  <si>
    <t>Transposition GRAFCET→SFC directe et naturelle</t>
  </si>
  <si>
    <t>Approche différente mais méthodologie établie (décomposition modulaire)</t>
  </si>
  <si>
    <t>Le SFC est littéralement un GRAFCET exécutable</t>
  </si>
  <si>
    <t>3. Maintenance et diagnostic</t>
  </si>
  <si>
    <t>Outils matures, messages clairs, 30 ans d'expérience</t>
  </si>
  <si>
    <t>Diagnostic explicite et guidé, traçabilité événements native</t>
  </si>
  <si>
    <t>Quasi-égalité, EAE progresse</t>
  </si>
  <si>
    <t>4. Capacité d'explication</t>
  </si>
  <si>
    <t>SFC graphique très clair, facile à enseigner (GRAFCET connu)</t>
  </si>
  <si>
    <t>Architecture hiérarchique claire, interfaces auto-documentées, plus abstrait</t>
  </si>
  <si>
    <t>61131 plus accessible, 61499 mieux structuré</t>
  </si>
  <si>
    <t>5. Flexibilité</t>
  </si>
  <si>
    <t>Modifications dispersées, réutilisabilité limitée</t>
  </si>
  <si>
    <t>ULTRA FLEXIBLE ! Équipements réutilisables, duplication logique usine simple</t>
  </si>
  <si>
    <t>61499</t>
  </si>
  <si>
    <t>POINT FORT MAJEUR de 61499 : modularité et réutilisabilité</t>
  </si>
  <si>
    <t>SCORE TOTAL</t>
  </si>
  <si>
    <t>LÉGENDE DES SCORES</t>
  </si>
  <si>
    <t>Score</t>
  </si>
  <si>
    <t>Signification</t>
  </si>
  <si>
    <t>1</t>
  </si>
  <si>
    <t>Très insuffisant / Très difficile</t>
  </si>
  <si>
    <t>2</t>
  </si>
  <si>
    <t>Insuffisant / Difficile</t>
  </si>
  <si>
    <t>3</t>
  </si>
  <si>
    <t>Moyen / Acceptable</t>
  </si>
  <si>
    <t>4</t>
  </si>
  <si>
    <t>Bon / Facile</t>
  </si>
  <si>
    <t>5</t>
  </si>
  <si>
    <t>Excellent / Très facile</t>
  </si>
  <si>
    <t>Chef de projet:</t>
  </si>
  <si>
    <t>Damien LORIGEON</t>
  </si>
  <si>
    <t>Date de création:</t>
  </si>
  <si>
    <t>Version:</t>
  </si>
  <si>
    <t>V1.0</t>
  </si>
  <si>
    <t>CRITÈRE 1 : DIFFICULTÉ DE PROGRAMMATION</t>
  </si>
  <si>
    <t>Définition : Ce critère évalue la facilité de prise en main et la complexité de mise en œuvre de chaque méthode.</t>
  </si>
  <si>
    <t>L'analyse porte sur la lisibilité du code/blocs, la cohérence de la structure logicielle, et la clarté de la logique séquentielle.</t>
  </si>
  <si>
    <t>Sous-critère</t>
  </si>
  <si>
    <t>Méthode d'évaluation</t>
  </si>
  <si>
    <t>Justification</t>
  </si>
  <si>
    <t>Observations</t>
  </si>
  <si>
    <t>Lisibilité du code/blocs</t>
  </si>
  <si>
    <t>Observation visuelle du programme
Comparaison de la clarté des structures</t>
  </si>
  <si>
    <t>Un code lisible facilite la compréhension, la modification et la maintenance</t>
  </si>
  <si>
    <t>GRAFCET natif (SFC) très lisible, structure familière pour automaticiens, code ST/LD classique bien documenté</t>
  </si>
  <si>
    <t>Logique événementielle déroutante au début, ECC lisibles une fois compris mais courbe d'apprentissage importante. Blocs bien encapsulés.</t>
  </si>
  <si>
    <t>Le SFC est immédiatement compréhensible pour qui connaît le GRAFCET</t>
  </si>
  <si>
    <t>Cohérence structure logicielle</t>
  </si>
  <si>
    <t>Analyse de l'organisation des modules
Vérification de la hiérarchie</t>
  </si>
  <si>
    <t>Une structure cohérente permet de naviguer facilement dans le projet</t>
  </si>
  <si>
    <t>Organisation classique en POUs, sections bien définies, hiérarchie simple</t>
  </si>
  <si>
    <t>Architecture System→Device→Resource→Application très structurée, composites EQUIP bien organisés, adapters pour interfaces typées</t>
  </si>
  <si>
    <t>Égal</t>
  </si>
  <si>
    <t>Les deux approches sont cohérentes dans leur paradigme respectif</t>
  </si>
  <si>
    <t>Clarté logique séquentielle</t>
  </si>
  <si>
    <t>Comparaison GRAFCET vs implémentation
Facilité à suivre le flux</t>
  </si>
  <si>
    <t>La logique séquentielle doit être facilement identifiable</t>
  </si>
  <si>
    <t>Transposition directe GRAFCET→SFC, logique séquentielle native et intuitive</t>
  </si>
  <si>
    <t>Logique événementielle différente du GRAFCET, nécessite adaptation mentale. La logique du ET dans un ECC est compliquée à mettre en œuvre (non réussi)</t>
  </si>
  <si>
    <t>DÉFAUT MAJEUR: La condition ET simple en 61131 devient complexe en événementiel (problème pièces bleues)</t>
  </si>
  <si>
    <t>Temps de développement</t>
  </si>
  <si>
    <t>Mesure du temps passé (SPER)
Comparaison heures ECE vs EAE</t>
  </si>
  <si>
    <t>Le temps de développement reflète la complexité de mise en œuvre</t>
  </si>
  <si>
    <t>Développement rapide grâce au SFC natif, peu de code à écrire pour la logique séquentielle</t>
  </si>
  <si>
    <t>Temps de développement plus long : création des FB, ECC, adapters, gestion des événements. Mais réutilisable ensuite.</t>
  </si>
  <si>
    <t>Environ 2x plus de temps pour EAE sur ce projet (première expérience)</t>
  </si>
  <si>
    <t>Courbe d'apprentissage</t>
  </si>
  <si>
    <t>Évaluation subjective du temps
nécessaire pour maîtriser l'outil</t>
  </si>
  <si>
    <t>Un outil avec une courbe d'apprentissage faible est plus accessible</t>
  </si>
  <si>
    <t>Prise en main rapide si connaissance GRAFCET, documentation abondante, nombreux tutoriels</t>
  </si>
  <si>
    <t>Logiciel difficile à prendre en main, peu de documentation, manque de recul de la communauté. Après apprentissage, logique événementielle devient naturelle pour l'automatisme.</t>
  </si>
  <si>
    <t>EAE manque cruellement de documentation et d'exemples pratiques</t>
  </si>
  <si>
    <t>SOUS-TOTAL CRITÈRE 1</t>
  </si>
  <si>
    <t>CRITÈRE 2 : MÉTHODE DE CONSTRUCTION</t>
  </si>
  <si>
    <t>Définition : Ce critère évalue dans quelle mesure le même GRAFCET peut être utilisé de façon intuitive pour programmer sous chaque norme.</t>
  </si>
  <si>
    <t>En IEC 61131-3, le SFC permet une transposition directe. En IEC 61499, l'approche événementielle nécessite une adaptation.</t>
  </si>
  <si>
    <t>Transposition GRAFCET → Code</t>
  </si>
  <si>
    <t>Comparaison directe GRAFCET source
vs implémentation finale</t>
  </si>
  <si>
    <t>Mesure la fidélité de la traduction du modèle conceptuel</t>
  </si>
  <si>
    <t>Transposition directe et fidèle : chaque étape GRAFCET = une étape SFC, chaque transition = une transition SFC</t>
  </si>
  <si>
    <t>Transposition pas évidente à première vue, mais utile pour avoir une vision globale. Étapes→États ECC, Transitions→Événements, Actions→Algorithmes</t>
  </si>
  <si>
    <t>Naturel de l'approche</t>
  </si>
  <si>
    <t>Évaluation de l'intuitivité
de chaque paradigme</t>
  </si>
  <si>
    <t>Une approche naturelle réduit les erreurs de conception</t>
  </si>
  <si>
    <t>Approche cyclique naturelle pour automaticiens, lecture séquentielle du code</t>
  </si>
  <si>
    <t>Approche événementielle déroutante au début mais devient logique dans le monde de l'automatisme moderne (Industry 4.0)</t>
  </si>
  <si>
    <t>Question de paradigme : cyclique vs événementiel</t>
  </si>
  <si>
    <t>Correspondance étapes/blocs</t>
  </si>
  <si>
    <t>Vérification que chaque étape
GRAFCET a son équivalent</t>
  </si>
  <si>
    <t>La traçabilité entre modèle et code est essentielle</t>
  </si>
  <si>
    <t>Correspondance 1:1 parfaite entre GRAFCET et SFC</t>
  </si>
  <si>
    <t>Correspondance moins directe : décomposition en modules fonctionnels (EQUIP), chaque module gère plusieurs aspects</t>
  </si>
  <si>
    <t>61499 nécessite une réflexion sur la modularisation</t>
  </si>
  <si>
    <t>Gestion des transitions</t>
  </si>
  <si>
    <t>Analyse de l'implémentation
des conditions de transition</t>
  </si>
  <si>
    <t>Les transitions sont le cœur de la logique séquentielle</t>
  </si>
  <si>
    <t>Transitions en ST ou LD, conditions combinatoires simples (ET, OU), fronts montants/descendants natifs</t>
  </si>
  <si>
    <t>Transitions = événements, gestion des fronts via E_R_TRIG/E_F_TRIG. La logique combinatoire ET est difficile à exprimer en événementiel.</t>
  </si>
  <si>
    <t>DÉFAUT: En 61131 un simple ET suffit, en 61499 c'est complexe (défaut pièces bleues)</t>
  </si>
  <si>
    <t>Synchronisation sous-GRAFCET</t>
  </si>
  <si>
    <t>Vérification du parallélisme
entre les 3 grafcets de tri</t>
  </si>
  <si>
    <t>Le système utilise 3 sous-GRAFCET parallèles</t>
  </si>
  <si>
    <t>Parallélisme natif avec divergences/convergences ET, synchronisation simple</t>
  </si>
  <si>
    <t>Synchronisation via événements BLOCK/UNBLOCK, adapter ICouleur pour communication typée. Fonctionne mais plus complexe.</t>
  </si>
  <si>
    <t>Les deux permettent la synchronisation mais 61131 est plus direct</t>
  </si>
  <si>
    <t>SOUS-TOTAL CRITÈRE 2</t>
  </si>
  <si>
    <t>CRITÈRE 3 : MAINTENANCE ET DIAGNOSTIC</t>
  </si>
  <si>
    <t>Définition : Ce critère porte sur la gestion des anomalies, des messages d'erreur et des états bloquants.</t>
  </si>
  <si>
    <t>L'objectif est d'évaluer la capacité du programme à être maintenu dans un contexte industriel.</t>
  </si>
  <si>
    <t>Identification fautes/blocages</t>
  </si>
  <si>
    <t>Test avec erreurs volontaires
Observation des indicateurs</t>
  </si>
  <si>
    <t>Capacité à identifier rapidement la source d'un problème</t>
  </si>
  <si>
    <t>Visualisation état actif du SFC, variables watchables, état étapes visible</t>
  </si>
  <si>
    <t>Identification explicite et guidée, états ECC visibles, événements tracés. Assez facile de comprendre où est bloqué le système.</t>
  </si>
  <si>
    <t>Les deux environnements permettent un bon diagnostic</t>
  </si>
  <si>
    <t>Messages d'alarme/erreur</t>
  </si>
  <si>
    <t>Analyse des messages générés
par chaque environnement</t>
  </si>
  <si>
    <t>Des messages clairs facilitent le diagnostic</t>
  </si>
  <si>
    <t>Messages d'erreur classiques de compilation/exécution, bien documentés</t>
  </si>
  <si>
    <t>Messages d'erreur présents mais parfois cryptiques. Compilation pas optimisée, erreurs parfois peu explicites.</t>
  </si>
  <si>
    <t>ECE plus mature avec meilleurs messages d'erreur</t>
  </si>
  <si>
    <t>Visibilité états internes</t>
  </si>
  <si>
    <t>Observation des variables
et états en temps réel</t>
  </si>
  <si>
    <t>Pouvoir voir l'état du système en cours d'exécution</t>
  </si>
  <si>
    <t>Tables de variables, animation SFC, visualisation temps réel complète</t>
  </si>
  <si>
    <t>Visualisation des événements et données dans chaque FB, états ECC animés, flux événements visibles</t>
  </si>
  <si>
    <t>Visualisation différente mais efficace dans les deux cas</t>
  </si>
  <si>
    <t>Procédures de débogage</t>
  </si>
  <si>
    <t>Test des outils de debug
(breakpoints, pas à pas...)</t>
  </si>
  <si>
    <t>Des outils de debug efficaces accélèrent la résolution</t>
  </si>
  <si>
    <t>Breakpoints, pas à pas, forçage variables, outils matures</t>
  </si>
  <si>
    <t>Outils de debug présents mais moins matures, forçage possible. Manque de recul sur les bonnes pratiques.</t>
  </si>
  <si>
    <t>ECE a 30 ans de maturité, EAE est plus récent</t>
  </si>
  <si>
    <t>Traçabilité événements</t>
  </si>
  <si>
    <t>Vérification des logs
et historiques disponibles</t>
  </si>
  <si>
    <t>La traçabilité aide à comprendre les séquences passées</t>
  </si>
  <si>
    <t>Historique via système SCADA externe, pas natif dans l'automate</t>
  </si>
  <si>
    <t>Flux événements naturellement traçables, chaque événement est explicite. Avantage de l'approche événementielle.</t>
  </si>
  <si>
    <t>L'approche événementielle facilite la traçabilité</t>
  </si>
  <si>
    <t>SOUS-TOTAL CRITÈRE 3</t>
  </si>
  <si>
    <t>CRITÈRE 4 : CAPACITÉ D'EXPLICATION</t>
  </si>
  <si>
    <t>Définition : Ce critère évalue la clarté pédagogique et la transparence du design logiciel.</t>
  </si>
  <si>
    <t>Il s'agit de déterminer dans quelle mesure le programme peut être expliqué et compris par un tiers.</t>
  </si>
  <si>
    <t>Structure hiérarchique</t>
  </si>
  <si>
    <t>Analyse de l'organisation
des dossiers/modules</t>
  </si>
  <si>
    <t>Une structure claire facilite la navigation dans le projet</t>
  </si>
  <si>
    <t>Structure plate ou peu profonde, POUs au même niveau, organisation classique</t>
  </si>
  <si>
    <t>Hiérarchie System→Device→Resource→Application très claire, encapsulation dans composites EQUIP</t>
  </si>
  <si>
    <t>L'architecture 61499 est naturellement hiérarchique et modulaire</t>
  </si>
  <si>
    <t>Nomenclature blocs/variables</t>
  </si>
  <si>
    <t>Vérification cohérence nommage
Clarté des identifiants</t>
  </si>
  <si>
    <t>Un nommage explicite rend le code auto-documenté</t>
  </si>
  <si>
    <t>Nommage libre, conventions à définir par le développeur</t>
  </si>
  <si>
    <t>Nommage structuré : FB_xxx pour basiques, EQUIP_xxx pour composites, conventions naturelles</t>
  </si>
  <si>
    <t>La structure 61499 impose naturellement un bon nommage</t>
  </si>
  <si>
    <t>Cohérence graphique</t>
  </si>
  <si>
    <t>Évaluation de la représentation
visuelle du programme</t>
  </si>
  <si>
    <t>Une vue graphique claire aide à la compréhension</t>
  </si>
  <si>
    <t>SFC graphique très clair, représentation visuelle du GRAFCET</t>
  </si>
  <si>
    <t>Vue graphique des FB et connexions, ECC visuels, mais plus abstrait que le GRAFCET</t>
  </si>
  <si>
    <t>Le SFC est immédiatement compréhensible visuellement</t>
  </si>
  <si>
    <t>Auto-documentation</t>
  </si>
  <si>
    <t>Présence de commentaires
et documentation intégrée</t>
  </si>
  <si>
    <t>Un code bien documenté est plus maintenable</t>
  </si>
  <si>
    <t>Commentaires possibles mais pas structurés, documentation externe nécessaire</t>
  </si>
  <si>
    <t>Interfaces FB auto-documentées (événements/variables typés), adapters explicites, encapsulation parlante</t>
  </si>
  <si>
    <t>Les interfaces FB sont naturellement documentées</t>
  </si>
  <si>
    <t>Facilité d'enseignement</t>
  </si>
  <si>
    <t>Évaluation subjective de la
facilité à transmettre</t>
  </si>
  <si>
    <t>Un bon outil pédagogique facilite la formation</t>
  </si>
  <si>
    <t>Facile à enseigner car basé sur GRAFCET connu, nombreuses ressources pédagogiques</t>
  </si>
  <si>
    <t>Plus difficile à enseigner : paradigme différent, peu de ressources, nécessite explication approfondie de l'événementiel</t>
  </si>
  <si>
    <t>Le GRAFCET est enseigné dans toutes les formations automatisme</t>
  </si>
  <si>
    <t>SOUS-TOTAL CRITÈRE 4</t>
  </si>
  <si>
    <t>CRITÈRE 5 : FLEXIBILITÉ</t>
  </si>
  <si>
    <t>Définition : Ce critère mesure la capacité du système à s'adapter à des modifications sans nécessiter une refonte complète.</t>
  </si>
  <si>
    <t>Les cas étudiés : ajout 4ème couleur, ajout capteurs/actionneurs, changement règles, migration contrôleur.</t>
  </si>
  <si>
    <t>Ajout 4ème type de pièce</t>
  </si>
  <si>
    <t>Simulation ajout nouvelle couleur
Mesure modifications nécessaires</t>
  </si>
  <si>
    <t>Capacité à étendre le système avec un nouveau cas de tri</t>
  </si>
  <si>
    <t>Nécessite ajout d'un sous-GRAFCET, modification du GRAFCET principal, ajout variables, modifications multiples</t>
  </si>
  <si>
    <t>Dupliquer EQUIP_Sorter avec My_ID=4, ajouter cas dans FB_TriLogic. La notion d'équipements réutilisables est INCROYABLE.</t>
  </si>
  <si>
    <t>POINT FORT MAJEUR: Réutilisation des composites ultra simple</t>
  </si>
  <si>
    <t>Ajout capteurs/actionneurs</t>
  </si>
  <si>
    <t>Ajout capteur supplémentaire
dans Factory I/O</t>
  </si>
  <si>
    <t>Facilité d'intégration de nouveaux équipements</t>
  </si>
  <si>
    <t>Ajout variables, modification mapping Modbus, adaptation du code concerné</t>
  </si>
  <si>
    <t>Ajout dans les blocs SYMLINK, très simple. Possibilité de juste changer les chemins des variables.</t>
  </si>
  <si>
    <t>Les SYMLINK rendent l'ajout d'I/O très flexible</t>
  </si>
  <si>
    <t>Changement règles de tri</t>
  </si>
  <si>
    <t>Modification des conditions
de tri (seuils couleur)</t>
  </si>
  <si>
    <t>Facilité à modifier le comportement sans tout refaire</t>
  </si>
  <si>
    <t>Modification des transitions ST, relativement simple mais dispersé dans le code</t>
  </si>
  <si>
    <t>Modification dans FB_VisionSensor (seuils) ou FB_TriLogic (logique), centralisé dans les FB concernés</t>
  </si>
  <si>
    <t>L'encapsulation 61499 centralise les modifications</t>
  </si>
  <si>
    <t>Réutilisabilité des blocs</t>
  </si>
  <si>
    <t>Évaluation de la modularité
et réutilisation possible</t>
  </si>
  <si>
    <t>Des blocs réutilisables accélèrent les développements futurs</t>
  </si>
  <si>
    <t>Réutilisation limitée, POUs liés au projet spécifique</t>
  </si>
  <si>
    <t>SUPER pour la logique objet ! Les EQUIP sont réutilisables, on peut dupliquer la logique d'une usine et juste changer les variables. C'est INCROYABLE.</t>
  </si>
  <si>
    <t>POINT FORT MAJEUR: Créer des équipements réutilisables est la force de 61499</t>
  </si>
  <si>
    <t>Migration vers autre contrôleur</t>
  </si>
  <si>
    <t>Analyse de la portabilité
du code vers autre matériel</t>
  </si>
  <si>
    <t>La portabilité est un avantage de IEC 61499</t>
  </si>
  <si>
    <t>Code lié à la plateforme Schneider, portabilité limitée entre constructeurs</t>
  </si>
  <si>
    <t>Standard ouvert Universal Automation, portabilité théorique entre contrôleurs compatibles IEC 61499</t>
  </si>
  <si>
    <t>L'interopérabilité est un objectif majeur de 61499</t>
  </si>
  <si>
    <t>SOUS-TOTAL CRITÈRE 5</t>
  </si>
  <si>
    <t>CONCLUSION ET RECOMMANDATIONS</t>
  </si>
  <si>
    <t>RÉCAPITULATIF DES SCORES</t>
  </si>
  <si>
    <t>Score IEC 61131-3</t>
  </si>
  <si>
    <t>Score IEC 61499</t>
  </si>
  <si>
    <t>Écart</t>
  </si>
  <si>
    <t>Norme avantagée</t>
  </si>
  <si>
    <t>TOTAL</t>
  </si>
  <si>
    <t>GUIDE D'UTILISATION DU TABLEAU COMPARATIF</t>
  </si>
  <si>
    <t>1. OBJECTIF</t>
  </si>
  <si>
    <t>Ce tableau permet de comparer objectivement les deux normes IEC 61131-3 et IEC 61499 selon les 5 critères définis dans les spécifications du projet.</t>
  </si>
  <si>
    <t>2. STRUCTURE</t>
  </si>
  <si>
    <t>- Feuille 'Synthèse' : vue globale des résultats
- Feuilles 1 à 5 : détail de chaque critère avec sous-critères
- Feuille 'Conclusion' : récapitulatif et recommandations
- Feuille 'Guide' : ce guide d'utilisation</t>
  </si>
  <si>
    <t>3. COMMENT REMPLIR</t>
  </si>
  <si>
    <t>Pour chaque sous-critère dans les feuilles détaillées :
1. Colonne 'IEC 61131-3' : Décrivez le comportement observé sous ECE
2. Colonne 'IEC 61499' : Décrivez le comportement observé sous EAE
3. Colonnes 'Score' : Notez de 1 à 5 chaque norme
4. Colonne 'Avantage' : Indiquez la norme avantagée (61131/61499/Égal)
5. Colonne 'Observations' : Ajoutez vos remarques</t>
  </si>
  <si>
    <t>4. ÉCHELLE DE NOTATION</t>
  </si>
  <si>
    <t>1 = Très insuffisant / Très difficile
2 = Insuffisant / Difficile
3 = Moyen / Acceptable
4 = Bon / Facile
5 = Excellent / Très facile</t>
  </si>
  <si>
    <t>5. MÉTHODE D'ÉVALUATION</t>
  </si>
  <si>
    <t>Chaque sous-critère possède une 'Méthode d'évaluation' décrivant comment effectuer la comparaison. Suivez ces indications pour garantir l'objectivité.</t>
  </si>
  <si>
    <t>6. FINALISATION</t>
  </si>
  <si>
    <t>Une fois tous les sous-critères remplis :
1. Reportez les totaux par critère dans la feuille 'Synthèse'
2. Complétez la feuille 'Conclusion' avec les points forts et recommandations
3. Vérifiez la cohérence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</si>
</sst>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i/>
      <sz val="12"/>
      <name val="Calibri"/>
      <family val="2"/>
    </font>
    <font>
      <b/>
      <sz val="14"/>
      <color rgb="FF2E75B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2"/>
      <color rgb="FF2E75B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/>
    <xf numFmtId="0" fontId="0" fillId="0" borderId="1" xfId="0" applyBorder="1"/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0" borderId="0" xfId="0" applyFont="1"/>
    <xf numFmtId="0" fontId="5" fillId="4" borderId="1" xfId="0" applyFont="1" applyFill="1" applyBorder="1"/>
    <xf numFmtId="0" fontId="5" fillId="5" borderId="1" xfId="0" applyFont="1" applyFill="1" applyBorder="1"/>
    <xf numFmtId="0" fontId="9" fillId="0" borderId="0" xfId="0" applyFont="1"/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15.33203125" bestFit="1" customWidth="1"/>
    <col min="2" max="2" width="36.5" bestFit="1" customWidth="1"/>
    <col min="3" max="3" width="60" bestFit="1" customWidth="1"/>
    <col min="4" max="4" width="8.33203125" bestFit="1" customWidth="1"/>
    <col min="5" max="6" width="10.83203125" bestFit="1" customWidth="1"/>
    <col min="7" max="7" width="47" bestFit="1" customWidth="1"/>
    <col min="8" max="8" width="18" customWidth="1"/>
  </cols>
  <sheetData>
    <row r="1" spans="1:8" x14ac:dyDescent="0.2">
      <c r="A1" s="24" t="s">
        <v>0</v>
      </c>
      <c r="B1" s="22"/>
      <c r="C1" s="22"/>
      <c r="D1" s="22"/>
      <c r="E1" s="22"/>
      <c r="F1" s="22"/>
      <c r="G1" s="22"/>
      <c r="H1" s="22"/>
    </row>
    <row r="2" spans="1:8" x14ac:dyDescent="0.2">
      <c r="A2" s="23" t="s">
        <v>1</v>
      </c>
      <c r="B2" s="22"/>
      <c r="C2" s="22"/>
      <c r="D2" s="22"/>
      <c r="E2" s="22"/>
      <c r="F2" s="22"/>
      <c r="G2" s="22"/>
      <c r="H2" s="22"/>
    </row>
    <row r="4" spans="1:8" ht="19" x14ac:dyDescent="0.25">
      <c r="A4" s="21" t="s">
        <v>2</v>
      </c>
      <c r="B4" s="22"/>
      <c r="C4" s="22"/>
      <c r="D4" s="22"/>
      <c r="E4" s="22"/>
      <c r="F4" s="22"/>
      <c r="G4" s="22"/>
      <c r="H4" s="22"/>
    </row>
    <row r="5" spans="1:8" ht="1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 ht="32" x14ac:dyDescent="0.2">
      <c r="A6" s="2" t="s">
        <v>10</v>
      </c>
      <c r="B6" s="3" t="s">
        <v>11</v>
      </c>
      <c r="C6" s="4" t="s">
        <v>12</v>
      </c>
      <c r="D6" s="5" t="s">
        <v>13</v>
      </c>
      <c r="E6" s="6">
        <v>20</v>
      </c>
      <c r="F6" s="6">
        <v>13</v>
      </c>
      <c r="G6" s="6" t="s">
        <v>14</v>
      </c>
    </row>
    <row r="7" spans="1:8" ht="32" x14ac:dyDescent="0.2">
      <c r="A7" s="2" t="s">
        <v>15</v>
      </c>
      <c r="B7" s="3" t="s">
        <v>16</v>
      </c>
      <c r="C7" s="4" t="s">
        <v>17</v>
      </c>
      <c r="D7" s="5" t="s">
        <v>13</v>
      </c>
      <c r="E7" s="6">
        <v>20</v>
      </c>
      <c r="F7" s="6">
        <v>14</v>
      </c>
      <c r="G7" s="6" t="s">
        <v>18</v>
      </c>
    </row>
    <row r="8" spans="1:8" ht="32" x14ac:dyDescent="0.2">
      <c r="A8" s="2" t="s">
        <v>19</v>
      </c>
      <c r="B8" s="3" t="s">
        <v>20</v>
      </c>
      <c r="C8" s="4" t="s">
        <v>21</v>
      </c>
      <c r="D8" s="5" t="s">
        <v>13</v>
      </c>
      <c r="E8" s="6">
        <v>19</v>
      </c>
      <c r="F8" s="6">
        <v>18</v>
      </c>
      <c r="G8" s="6" t="s">
        <v>22</v>
      </c>
    </row>
    <row r="9" spans="1:8" ht="32" x14ac:dyDescent="0.2">
      <c r="A9" s="2" t="s">
        <v>23</v>
      </c>
      <c r="B9" s="3" t="s">
        <v>24</v>
      </c>
      <c r="C9" s="4" t="s">
        <v>25</v>
      </c>
      <c r="D9" s="5" t="s">
        <v>13</v>
      </c>
      <c r="E9" s="6">
        <v>17</v>
      </c>
      <c r="F9" s="6">
        <v>18</v>
      </c>
      <c r="G9" s="6" t="s">
        <v>26</v>
      </c>
    </row>
    <row r="10" spans="1:8" ht="32" x14ac:dyDescent="0.2">
      <c r="A10" s="2" t="s">
        <v>27</v>
      </c>
      <c r="B10" s="3" t="s">
        <v>28</v>
      </c>
      <c r="C10" s="4" t="s">
        <v>29</v>
      </c>
      <c r="D10" s="5" t="s">
        <v>30</v>
      </c>
      <c r="E10" s="6">
        <v>10</v>
      </c>
      <c r="F10" s="6">
        <v>20</v>
      </c>
      <c r="G10" s="6" t="s">
        <v>31</v>
      </c>
    </row>
    <row r="11" spans="1:8" ht="16" x14ac:dyDescent="0.2">
      <c r="A11" s="7" t="s">
        <v>32</v>
      </c>
      <c r="E11" s="8">
        <f>SUM(E6:E10)</f>
        <v>86</v>
      </c>
      <c r="F11" s="9">
        <f>SUM(F6:F10)</f>
        <v>83</v>
      </c>
    </row>
    <row r="14" spans="1:8" ht="19" x14ac:dyDescent="0.25">
      <c r="A14" s="21" t="s">
        <v>33</v>
      </c>
      <c r="B14" s="22"/>
      <c r="C14" s="22"/>
      <c r="D14" s="22"/>
      <c r="E14" s="22"/>
      <c r="F14" s="22"/>
      <c r="G14" s="22"/>
      <c r="H14" s="22"/>
    </row>
    <row r="15" spans="1:8" ht="16" x14ac:dyDescent="0.2">
      <c r="A15" s="1" t="s">
        <v>34</v>
      </c>
      <c r="B15" s="10" t="s">
        <v>35</v>
      </c>
    </row>
    <row r="16" spans="1:8" ht="16" x14ac:dyDescent="0.2">
      <c r="A16" s="6" t="s">
        <v>36</v>
      </c>
      <c r="B16" s="11" t="s">
        <v>37</v>
      </c>
    </row>
    <row r="17" spans="1:2" ht="16" x14ac:dyDescent="0.2">
      <c r="A17" s="6" t="s">
        <v>38</v>
      </c>
      <c r="B17" s="11" t="s">
        <v>39</v>
      </c>
    </row>
    <row r="18" spans="1:2" ht="16" x14ac:dyDescent="0.2">
      <c r="A18" s="6" t="s">
        <v>40</v>
      </c>
      <c r="B18" s="11" t="s">
        <v>41</v>
      </c>
    </row>
    <row r="19" spans="1:2" ht="16" x14ac:dyDescent="0.2">
      <c r="A19" s="6" t="s">
        <v>42</v>
      </c>
      <c r="B19" s="11" t="s">
        <v>43</v>
      </c>
    </row>
    <row r="20" spans="1:2" ht="16" x14ac:dyDescent="0.2">
      <c r="A20" s="6" t="s">
        <v>44</v>
      </c>
      <c r="B20" s="11" t="s">
        <v>45</v>
      </c>
    </row>
    <row r="23" spans="1:2" x14ac:dyDescent="0.2">
      <c r="A23" t="s">
        <v>46</v>
      </c>
      <c r="B23" t="s">
        <v>47</v>
      </c>
    </row>
    <row r="24" spans="1:2" x14ac:dyDescent="0.2">
      <c r="A24" t="s">
        <v>48</v>
      </c>
      <c r="B24" s="31">
        <v>46044</v>
      </c>
    </row>
    <row r="25" spans="1:2" x14ac:dyDescent="0.2">
      <c r="A25" t="s">
        <v>49</v>
      </c>
      <c r="B25" t="s">
        <v>50</v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opLeftCell="A3" workbookViewId="0">
      <selection activeCell="F10" sqref="F10"/>
    </sheetView>
  </sheetViews>
  <sheetFormatPr baseColWidth="10" defaultColWidth="8.83203125" defaultRowHeight="15" x14ac:dyDescent="0.2"/>
  <cols>
    <col min="1" max="1" width="22" bestFit="1" customWidth="1"/>
    <col min="2" max="2" width="28.33203125" bestFit="1" customWidth="1"/>
    <col min="3" max="3" width="25" bestFit="1" customWidth="1"/>
    <col min="4" max="4" width="31" bestFit="1" customWidth="1"/>
    <col min="5" max="5" width="48.5" bestFit="1" customWidth="1"/>
    <col min="6" max="7" width="10.83203125" bestFit="1" customWidth="1"/>
    <col min="8" max="8" width="8.33203125" bestFit="1" customWidth="1"/>
    <col min="9" max="9" width="31.1640625" bestFit="1" customWidth="1"/>
  </cols>
  <sheetData>
    <row r="1" spans="1:9" x14ac:dyDescent="0.2">
      <c r="A1" s="24" t="s">
        <v>51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6" t="s">
        <v>52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53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58</v>
      </c>
      <c r="B7" s="13" t="s">
        <v>59</v>
      </c>
      <c r="C7" s="13" t="s">
        <v>60</v>
      </c>
      <c r="D7" s="14" t="s">
        <v>61</v>
      </c>
      <c r="E7" s="15" t="s">
        <v>62</v>
      </c>
      <c r="F7" s="13">
        <v>4</v>
      </c>
      <c r="G7" s="13">
        <v>3</v>
      </c>
      <c r="H7" s="16" t="s">
        <v>13</v>
      </c>
      <c r="I7" s="13" t="s">
        <v>63</v>
      </c>
    </row>
    <row r="8" spans="1:9" ht="48" x14ac:dyDescent="0.2">
      <c r="A8" s="12" t="s">
        <v>64</v>
      </c>
      <c r="B8" s="13" t="s">
        <v>65</v>
      </c>
      <c r="C8" s="13" t="s">
        <v>66</v>
      </c>
      <c r="D8" s="14" t="s">
        <v>67</v>
      </c>
      <c r="E8" s="15" t="s">
        <v>68</v>
      </c>
      <c r="F8" s="13">
        <v>4</v>
      </c>
      <c r="G8" s="13">
        <v>4</v>
      </c>
      <c r="H8" s="16" t="s">
        <v>69</v>
      </c>
      <c r="I8" s="13" t="s">
        <v>70</v>
      </c>
    </row>
    <row r="9" spans="1:9" ht="48" x14ac:dyDescent="0.2">
      <c r="A9" s="12" t="s">
        <v>71</v>
      </c>
      <c r="B9" s="13" t="s">
        <v>72</v>
      </c>
      <c r="C9" s="13" t="s">
        <v>73</v>
      </c>
      <c r="D9" s="14" t="s">
        <v>74</v>
      </c>
      <c r="E9" s="15" t="s">
        <v>75</v>
      </c>
      <c r="F9" s="13">
        <v>4</v>
      </c>
      <c r="G9" s="13">
        <v>2</v>
      </c>
      <c r="H9" s="16" t="s">
        <v>13</v>
      </c>
      <c r="I9" s="13" t="s">
        <v>76</v>
      </c>
    </row>
    <row r="10" spans="1:9" ht="48" x14ac:dyDescent="0.2">
      <c r="A10" s="12" t="s">
        <v>77</v>
      </c>
      <c r="B10" s="13" t="s">
        <v>78</v>
      </c>
      <c r="C10" s="13" t="s">
        <v>79</v>
      </c>
      <c r="D10" s="14" t="s">
        <v>80</v>
      </c>
      <c r="E10" s="15" t="s">
        <v>81</v>
      </c>
      <c r="F10" s="13">
        <v>4</v>
      </c>
      <c r="G10" s="13">
        <v>2</v>
      </c>
      <c r="H10" s="16" t="s">
        <v>13</v>
      </c>
      <c r="I10" s="13" t="s">
        <v>82</v>
      </c>
    </row>
    <row r="11" spans="1:9" ht="64" x14ac:dyDescent="0.2">
      <c r="A11" s="12" t="s">
        <v>83</v>
      </c>
      <c r="B11" s="13" t="s">
        <v>84</v>
      </c>
      <c r="C11" s="13" t="s">
        <v>85</v>
      </c>
      <c r="D11" s="14" t="s">
        <v>86</v>
      </c>
      <c r="E11" s="15" t="s">
        <v>87</v>
      </c>
      <c r="F11" s="13">
        <v>4</v>
      </c>
      <c r="G11" s="13">
        <v>2</v>
      </c>
      <c r="H11" s="16" t="s">
        <v>13</v>
      </c>
      <c r="I11" s="13" t="s">
        <v>88</v>
      </c>
    </row>
    <row r="13" spans="1:9" x14ac:dyDescent="0.2">
      <c r="A13" s="17" t="s">
        <v>89</v>
      </c>
      <c r="F13" s="8">
        <f>SUM(F7:F11)</f>
        <v>20</v>
      </c>
      <c r="G13" s="9">
        <f>SUM(G7:G11)</f>
        <v>13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23.33203125" bestFit="1" customWidth="1"/>
    <col min="2" max="2" width="22.5" bestFit="1" customWidth="1"/>
    <col min="3" max="3" width="19.6640625" bestFit="1" customWidth="1"/>
    <col min="4" max="4" width="30.83203125" bestFit="1" customWidth="1"/>
    <col min="5" max="5" width="41.83203125" bestFit="1" customWidth="1"/>
    <col min="6" max="7" width="10.83203125" bestFit="1" customWidth="1"/>
    <col min="8" max="8" width="8.33203125" bestFit="1" customWidth="1"/>
    <col min="9" max="9" width="25.1640625" bestFit="1" customWidth="1"/>
  </cols>
  <sheetData>
    <row r="1" spans="1:9" x14ac:dyDescent="0.2">
      <c r="A1" s="24" t="s">
        <v>90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91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92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48" x14ac:dyDescent="0.2">
      <c r="A7" s="12" t="s">
        <v>93</v>
      </c>
      <c r="B7" s="13" t="s">
        <v>94</v>
      </c>
      <c r="C7" s="13" t="s">
        <v>95</v>
      </c>
      <c r="D7" s="14" t="s">
        <v>96</v>
      </c>
      <c r="E7" s="15" t="s">
        <v>97</v>
      </c>
      <c r="F7" s="13">
        <v>4</v>
      </c>
      <c r="G7" s="13">
        <v>3</v>
      </c>
      <c r="H7" s="16" t="s">
        <v>13</v>
      </c>
      <c r="I7" s="13" t="s">
        <v>18</v>
      </c>
    </row>
    <row r="8" spans="1:9" ht="48" x14ac:dyDescent="0.2">
      <c r="A8" s="12" t="s">
        <v>98</v>
      </c>
      <c r="B8" s="13" t="s">
        <v>99</v>
      </c>
      <c r="C8" s="13" t="s">
        <v>100</v>
      </c>
      <c r="D8" s="14" t="s">
        <v>101</v>
      </c>
      <c r="E8" s="15" t="s">
        <v>102</v>
      </c>
      <c r="F8" s="13">
        <v>4</v>
      </c>
      <c r="G8" s="13">
        <v>3</v>
      </c>
      <c r="H8" s="16" t="s">
        <v>13</v>
      </c>
      <c r="I8" s="13" t="s">
        <v>103</v>
      </c>
    </row>
    <row r="9" spans="1:9" ht="48" x14ac:dyDescent="0.2">
      <c r="A9" s="12" t="s">
        <v>104</v>
      </c>
      <c r="B9" s="13" t="s">
        <v>105</v>
      </c>
      <c r="C9" s="13" t="s">
        <v>106</v>
      </c>
      <c r="D9" s="14" t="s">
        <v>107</v>
      </c>
      <c r="E9" s="15" t="s">
        <v>108</v>
      </c>
      <c r="F9" s="13">
        <v>4</v>
      </c>
      <c r="G9" s="13">
        <v>3</v>
      </c>
      <c r="H9" s="16" t="s">
        <v>13</v>
      </c>
      <c r="I9" s="13" t="s">
        <v>109</v>
      </c>
    </row>
    <row r="10" spans="1:9" ht="48" x14ac:dyDescent="0.2">
      <c r="A10" s="12" t="s">
        <v>110</v>
      </c>
      <c r="B10" s="13" t="s">
        <v>111</v>
      </c>
      <c r="C10" s="13" t="s">
        <v>112</v>
      </c>
      <c r="D10" s="14" t="s">
        <v>113</v>
      </c>
      <c r="E10" s="15" t="s">
        <v>114</v>
      </c>
      <c r="F10" s="13">
        <v>4</v>
      </c>
      <c r="G10" s="13">
        <v>2</v>
      </c>
      <c r="H10" s="16" t="s">
        <v>13</v>
      </c>
      <c r="I10" s="13" t="s">
        <v>115</v>
      </c>
    </row>
    <row r="11" spans="1:9" ht="48" x14ac:dyDescent="0.2">
      <c r="A11" s="12" t="s">
        <v>116</v>
      </c>
      <c r="B11" s="13" t="s">
        <v>117</v>
      </c>
      <c r="C11" s="13" t="s">
        <v>118</v>
      </c>
      <c r="D11" s="14" t="s">
        <v>119</v>
      </c>
      <c r="E11" s="15" t="s">
        <v>120</v>
      </c>
      <c r="F11" s="13">
        <v>4</v>
      </c>
      <c r="G11" s="13">
        <v>3</v>
      </c>
      <c r="H11" s="16" t="s">
        <v>13</v>
      </c>
      <c r="I11" s="13" t="s">
        <v>121</v>
      </c>
    </row>
    <row r="13" spans="1:9" x14ac:dyDescent="0.2">
      <c r="A13" s="17" t="s">
        <v>122</v>
      </c>
      <c r="F13" s="8">
        <f>SUM(F7:F11)</f>
        <v>20</v>
      </c>
      <c r="G13" s="9">
        <f>SUM(G7:G11)</f>
        <v>14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21" bestFit="1" customWidth="1"/>
    <col min="2" max="2" width="22.33203125" bestFit="1" customWidth="1"/>
    <col min="3" max="3" width="18" bestFit="1" customWidth="1"/>
    <col min="4" max="4" width="22.6640625" bestFit="1" customWidth="1"/>
    <col min="5" max="5" width="33.6640625" bestFit="1" customWidth="1"/>
    <col min="6" max="7" width="10.83203125" bestFit="1" customWidth="1"/>
    <col min="8" max="8" width="8.33203125" bestFit="1" customWidth="1"/>
    <col min="9" max="9" width="20.33203125" bestFit="1" customWidth="1"/>
  </cols>
  <sheetData>
    <row r="1" spans="1:9" x14ac:dyDescent="0.2">
      <c r="A1" s="24" t="s">
        <v>123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124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125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126</v>
      </c>
      <c r="B7" s="13" t="s">
        <v>127</v>
      </c>
      <c r="C7" s="13" t="s">
        <v>128</v>
      </c>
      <c r="D7" s="14" t="s">
        <v>129</v>
      </c>
      <c r="E7" s="15" t="s">
        <v>130</v>
      </c>
      <c r="F7" s="13">
        <v>4</v>
      </c>
      <c r="G7" s="13">
        <v>4</v>
      </c>
      <c r="H7" s="16" t="s">
        <v>69</v>
      </c>
      <c r="I7" s="13" t="s">
        <v>131</v>
      </c>
    </row>
    <row r="8" spans="1:9" ht="48" x14ac:dyDescent="0.2">
      <c r="A8" s="12" t="s">
        <v>132</v>
      </c>
      <c r="B8" s="13" t="s">
        <v>133</v>
      </c>
      <c r="C8" s="13" t="s">
        <v>134</v>
      </c>
      <c r="D8" s="14" t="s">
        <v>135</v>
      </c>
      <c r="E8" s="15" t="s">
        <v>136</v>
      </c>
      <c r="F8" s="13">
        <v>4</v>
      </c>
      <c r="G8" s="13">
        <v>3</v>
      </c>
      <c r="H8" s="16" t="s">
        <v>13</v>
      </c>
      <c r="I8" s="13" t="s">
        <v>137</v>
      </c>
    </row>
    <row r="9" spans="1:9" ht="48" x14ac:dyDescent="0.2">
      <c r="A9" s="12" t="s">
        <v>138</v>
      </c>
      <c r="B9" s="13" t="s">
        <v>139</v>
      </c>
      <c r="C9" s="13" t="s">
        <v>140</v>
      </c>
      <c r="D9" s="14" t="s">
        <v>141</v>
      </c>
      <c r="E9" s="15" t="s">
        <v>142</v>
      </c>
      <c r="F9" s="13">
        <v>4</v>
      </c>
      <c r="G9" s="13">
        <v>4</v>
      </c>
      <c r="H9" s="16" t="s">
        <v>69</v>
      </c>
      <c r="I9" s="13" t="s">
        <v>143</v>
      </c>
    </row>
    <row r="10" spans="1:9" ht="48" x14ac:dyDescent="0.2">
      <c r="A10" s="12" t="s">
        <v>144</v>
      </c>
      <c r="B10" s="13" t="s">
        <v>145</v>
      </c>
      <c r="C10" s="13" t="s">
        <v>146</v>
      </c>
      <c r="D10" s="14" t="s">
        <v>147</v>
      </c>
      <c r="E10" s="15" t="s">
        <v>148</v>
      </c>
      <c r="F10" s="13">
        <v>4</v>
      </c>
      <c r="G10" s="13">
        <v>3</v>
      </c>
      <c r="H10" s="16" t="s">
        <v>13</v>
      </c>
      <c r="I10" s="13" t="s">
        <v>149</v>
      </c>
    </row>
    <row r="11" spans="1:9" ht="48" x14ac:dyDescent="0.2">
      <c r="A11" s="12" t="s">
        <v>150</v>
      </c>
      <c r="B11" s="13" t="s">
        <v>151</v>
      </c>
      <c r="C11" s="13" t="s">
        <v>152</v>
      </c>
      <c r="D11" s="14" t="s">
        <v>153</v>
      </c>
      <c r="E11" s="15" t="s">
        <v>154</v>
      </c>
      <c r="F11" s="13">
        <v>3</v>
      </c>
      <c r="G11" s="13">
        <v>4</v>
      </c>
      <c r="H11" s="16" t="s">
        <v>30</v>
      </c>
      <c r="I11" s="13" t="s">
        <v>155</v>
      </c>
    </row>
    <row r="13" spans="1:9" x14ac:dyDescent="0.2">
      <c r="A13" s="17" t="s">
        <v>156</v>
      </c>
      <c r="F13" s="8">
        <f>SUM(F7:F11)</f>
        <v>19</v>
      </c>
      <c r="G13" s="9">
        <f>SUM(G7:G11)</f>
        <v>18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21.6640625" bestFit="1" customWidth="1"/>
    <col min="2" max="2" width="21.5" bestFit="1" customWidth="1"/>
    <col min="3" max="3" width="19.83203125" bestFit="1" customWidth="1"/>
    <col min="4" max="4" width="24.33203125" bestFit="1" customWidth="1"/>
    <col min="5" max="5" width="35.83203125" bestFit="1" customWidth="1"/>
    <col min="6" max="7" width="10.83203125" bestFit="1" customWidth="1"/>
    <col min="8" max="8" width="8.33203125" bestFit="1" customWidth="1"/>
    <col min="9" max="9" width="21.1640625" bestFit="1" customWidth="1"/>
  </cols>
  <sheetData>
    <row r="1" spans="1:9" x14ac:dyDescent="0.2">
      <c r="A1" s="24" t="s">
        <v>157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158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159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160</v>
      </c>
      <c r="B7" s="13" t="s">
        <v>161</v>
      </c>
      <c r="C7" s="13" t="s">
        <v>162</v>
      </c>
      <c r="D7" s="14" t="s">
        <v>163</v>
      </c>
      <c r="E7" s="15" t="s">
        <v>164</v>
      </c>
      <c r="F7" s="13">
        <v>3</v>
      </c>
      <c r="G7" s="13">
        <v>5</v>
      </c>
      <c r="H7" s="16" t="s">
        <v>30</v>
      </c>
      <c r="I7" s="13" t="s">
        <v>165</v>
      </c>
    </row>
    <row r="8" spans="1:9" ht="48" x14ac:dyDescent="0.2">
      <c r="A8" s="12" t="s">
        <v>166</v>
      </c>
      <c r="B8" s="13" t="s">
        <v>167</v>
      </c>
      <c r="C8" s="13" t="s">
        <v>168</v>
      </c>
      <c r="D8" s="14" t="s">
        <v>169</v>
      </c>
      <c r="E8" s="15" t="s">
        <v>170</v>
      </c>
      <c r="F8" s="13">
        <v>3</v>
      </c>
      <c r="G8" s="13">
        <v>4</v>
      </c>
      <c r="H8" s="16" t="s">
        <v>30</v>
      </c>
      <c r="I8" s="13" t="s">
        <v>171</v>
      </c>
    </row>
    <row r="9" spans="1:9" ht="48" x14ac:dyDescent="0.2">
      <c r="A9" s="12" t="s">
        <v>172</v>
      </c>
      <c r="B9" s="13" t="s">
        <v>173</v>
      </c>
      <c r="C9" s="13" t="s">
        <v>174</v>
      </c>
      <c r="D9" s="14" t="s">
        <v>175</v>
      </c>
      <c r="E9" s="15" t="s">
        <v>176</v>
      </c>
      <c r="F9" s="13">
        <v>4</v>
      </c>
      <c r="G9" s="13">
        <v>3</v>
      </c>
      <c r="H9" s="16" t="s">
        <v>13</v>
      </c>
      <c r="I9" s="13" t="s">
        <v>177</v>
      </c>
    </row>
    <row r="10" spans="1:9" ht="64" x14ac:dyDescent="0.2">
      <c r="A10" s="12" t="s">
        <v>178</v>
      </c>
      <c r="B10" s="13" t="s">
        <v>179</v>
      </c>
      <c r="C10" s="13" t="s">
        <v>180</v>
      </c>
      <c r="D10" s="14" t="s">
        <v>181</v>
      </c>
      <c r="E10" s="15" t="s">
        <v>182</v>
      </c>
      <c r="F10" s="13">
        <v>3</v>
      </c>
      <c r="G10" s="13">
        <v>4</v>
      </c>
      <c r="H10" s="16" t="s">
        <v>30</v>
      </c>
      <c r="I10" s="13" t="s">
        <v>183</v>
      </c>
    </row>
    <row r="11" spans="1:9" ht="48" x14ac:dyDescent="0.2">
      <c r="A11" s="12" t="s">
        <v>184</v>
      </c>
      <c r="B11" s="13" t="s">
        <v>185</v>
      </c>
      <c r="C11" s="13" t="s">
        <v>186</v>
      </c>
      <c r="D11" s="14" t="s">
        <v>187</v>
      </c>
      <c r="E11" s="15" t="s">
        <v>188</v>
      </c>
      <c r="F11" s="13">
        <v>4</v>
      </c>
      <c r="G11" s="13">
        <v>2</v>
      </c>
      <c r="H11" s="16" t="s">
        <v>13</v>
      </c>
      <c r="I11" s="13" t="s">
        <v>189</v>
      </c>
    </row>
    <row r="13" spans="1:9" x14ac:dyDescent="0.2">
      <c r="A13" s="17" t="s">
        <v>190</v>
      </c>
      <c r="F13" s="8">
        <f>SUM(F7:F11)</f>
        <v>17</v>
      </c>
      <c r="G13" s="9">
        <f>SUM(G7:G11)</f>
        <v>18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23.33203125" bestFit="1" customWidth="1"/>
    <col min="2" max="2" width="26.83203125" bestFit="1" customWidth="1"/>
    <col min="3" max="3" width="20" customWidth="1"/>
    <col min="4" max="4" width="31.5" bestFit="1" customWidth="1"/>
    <col min="5" max="5" width="42.1640625" bestFit="1" customWidth="1"/>
    <col min="6" max="7" width="10.83203125" bestFit="1" customWidth="1"/>
    <col min="8" max="8" width="8.33203125" bestFit="1" customWidth="1"/>
    <col min="9" max="9" width="23.6640625" bestFit="1" customWidth="1"/>
  </cols>
  <sheetData>
    <row r="1" spans="1:9" x14ac:dyDescent="0.2">
      <c r="A1" s="24" t="s">
        <v>191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192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193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48" x14ac:dyDescent="0.2">
      <c r="A7" s="12" t="s">
        <v>194</v>
      </c>
      <c r="B7" s="13" t="s">
        <v>195</v>
      </c>
      <c r="C7" s="13" t="s">
        <v>196</v>
      </c>
      <c r="D7" s="14" t="s">
        <v>197</v>
      </c>
      <c r="E7" s="15" t="s">
        <v>198</v>
      </c>
      <c r="F7" s="13">
        <v>2</v>
      </c>
      <c r="G7" s="13">
        <v>4</v>
      </c>
      <c r="H7" s="16" t="s">
        <v>30</v>
      </c>
      <c r="I7" s="13" t="s">
        <v>199</v>
      </c>
    </row>
    <row r="8" spans="1:9" ht="32" x14ac:dyDescent="0.2">
      <c r="A8" s="12" t="s">
        <v>200</v>
      </c>
      <c r="B8" s="13" t="s">
        <v>201</v>
      </c>
      <c r="C8" s="13" t="s">
        <v>202</v>
      </c>
      <c r="D8" s="14" t="s">
        <v>203</v>
      </c>
      <c r="E8" s="15" t="s">
        <v>204</v>
      </c>
      <c r="F8" s="13">
        <v>3</v>
      </c>
      <c r="G8" s="13">
        <v>4</v>
      </c>
      <c r="H8" s="16" t="s">
        <v>30</v>
      </c>
      <c r="I8" s="13" t="s">
        <v>205</v>
      </c>
    </row>
    <row r="9" spans="1:9" ht="48" x14ac:dyDescent="0.2">
      <c r="A9" s="12" t="s">
        <v>206</v>
      </c>
      <c r="B9" s="13" t="s">
        <v>207</v>
      </c>
      <c r="C9" s="13" t="s">
        <v>208</v>
      </c>
      <c r="D9" s="14" t="s">
        <v>209</v>
      </c>
      <c r="E9" s="15" t="s">
        <v>210</v>
      </c>
      <c r="F9" s="13">
        <v>3</v>
      </c>
      <c r="G9" s="13">
        <v>4</v>
      </c>
      <c r="H9" s="16" t="s">
        <v>30</v>
      </c>
      <c r="I9" s="13" t="s">
        <v>211</v>
      </c>
    </row>
    <row r="10" spans="1:9" ht="48" x14ac:dyDescent="0.2">
      <c r="A10" s="12" t="s">
        <v>212</v>
      </c>
      <c r="B10" s="13" t="s">
        <v>213</v>
      </c>
      <c r="C10" s="13" t="s">
        <v>214</v>
      </c>
      <c r="D10" s="14" t="s">
        <v>215</v>
      </c>
      <c r="E10" s="15" t="s">
        <v>216</v>
      </c>
      <c r="F10" s="13">
        <v>1</v>
      </c>
      <c r="G10" s="13">
        <v>4</v>
      </c>
      <c r="H10" s="16" t="s">
        <v>30</v>
      </c>
      <c r="I10" s="13" t="s">
        <v>217</v>
      </c>
    </row>
    <row r="11" spans="1:9" ht="32" x14ac:dyDescent="0.2">
      <c r="A11" s="12" t="s">
        <v>218</v>
      </c>
      <c r="B11" s="13" t="s">
        <v>219</v>
      </c>
      <c r="C11" s="13" t="s">
        <v>220</v>
      </c>
      <c r="D11" s="14" t="s">
        <v>221</v>
      </c>
      <c r="E11" s="15" t="s">
        <v>222</v>
      </c>
      <c r="F11" s="13">
        <v>1</v>
      </c>
      <c r="G11" s="13">
        <v>4</v>
      </c>
      <c r="H11" s="16" t="s">
        <v>30</v>
      </c>
      <c r="I11" s="13" t="s">
        <v>223</v>
      </c>
    </row>
    <row r="13" spans="1:9" x14ac:dyDescent="0.2">
      <c r="A13" s="17" t="s">
        <v>224</v>
      </c>
      <c r="F13" s="8">
        <f>SUM(F7:F11)</f>
        <v>10</v>
      </c>
      <c r="G13" s="9">
        <f>SUM(G7:G11)</f>
        <v>20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F9" sqref="F9"/>
    </sheetView>
  </sheetViews>
  <sheetFormatPr baseColWidth="10" defaultColWidth="8.83203125" defaultRowHeight="15" x14ac:dyDescent="0.2"/>
  <cols>
    <col min="1" max="4" width="18" customWidth="1"/>
    <col min="5" max="5" width="18" style="30" customWidth="1"/>
    <col min="6" max="8" width="18" customWidth="1"/>
  </cols>
  <sheetData>
    <row r="1" spans="1:8" x14ac:dyDescent="0.2">
      <c r="A1" s="24" t="s">
        <v>225</v>
      </c>
      <c r="B1" s="22"/>
      <c r="C1" s="22"/>
      <c r="D1" s="22"/>
      <c r="E1" s="22"/>
      <c r="F1" s="22"/>
      <c r="G1" s="22"/>
      <c r="H1" s="22"/>
    </row>
    <row r="3" spans="1:8" ht="19" customHeight="1" x14ac:dyDescent="0.25">
      <c r="A3" s="21" t="s">
        <v>226</v>
      </c>
      <c r="B3" s="22"/>
      <c r="C3" s="22"/>
      <c r="D3" s="22"/>
      <c r="E3" s="22"/>
      <c r="F3" s="22"/>
      <c r="G3" s="22"/>
      <c r="H3" s="22"/>
    </row>
    <row r="4" spans="1:8" ht="16" customHeight="1" x14ac:dyDescent="0.2">
      <c r="A4" s="1" t="s">
        <v>3</v>
      </c>
      <c r="B4" s="1" t="s">
        <v>227</v>
      </c>
      <c r="C4" s="1" t="s">
        <v>228</v>
      </c>
      <c r="D4" s="1" t="s">
        <v>229</v>
      </c>
      <c r="E4" s="28" t="s">
        <v>230</v>
      </c>
    </row>
    <row r="5" spans="1:8" x14ac:dyDescent="0.2">
      <c r="A5" s="11" t="s">
        <v>10</v>
      </c>
      <c r="B5" s="8">
        <v>20</v>
      </c>
      <c r="C5" s="9">
        <v>13</v>
      </c>
      <c r="D5" s="11"/>
      <c r="E5" s="29" t="s">
        <v>13</v>
      </c>
    </row>
    <row r="6" spans="1:8" x14ac:dyDescent="0.2">
      <c r="A6" s="11" t="s">
        <v>15</v>
      </c>
      <c r="B6" s="8">
        <v>20</v>
      </c>
      <c r="C6" s="9">
        <v>14</v>
      </c>
      <c r="D6" s="11"/>
      <c r="E6" s="29" t="s">
        <v>13</v>
      </c>
    </row>
    <row r="7" spans="1:8" x14ac:dyDescent="0.2">
      <c r="A7" s="11" t="s">
        <v>19</v>
      </c>
      <c r="B7" s="8">
        <v>19</v>
      </c>
      <c r="C7" s="9">
        <v>18</v>
      </c>
      <c r="D7" s="11"/>
      <c r="E7" s="29" t="s">
        <v>13</v>
      </c>
    </row>
    <row r="8" spans="1:8" x14ac:dyDescent="0.2">
      <c r="A8" s="11" t="s">
        <v>23</v>
      </c>
      <c r="B8" s="8">
        <v>17</v>
      </c>
      <c r="C8" s="9">
        <v>18</v>
      </c>
      <c r="D8" s="11"/>
      <c r="E8" s="29">
        <v>61499</v>
      </c>
    </row>
    <row r="9" spans="1:8" x14ac:dyDescent="0.2">
      <c r="A9" s="11" t="s">
        <v>27</v>
      </c>
      <c r="B9" s="8">
        <v>10</v>
      </c>
      <c r="C9" s="9">
        <v>20</v>
      </c>
      <c r="D9" s="11"/>
      <c r="E9" s="29" t="s">
        <v>30</v>
      </c>
    </row>
    <row r="10" spans="1:8" ht="16" customHeight="1" x14ac:dyDescent="0.2">
      <c r="A10" s="7" t="s">
        <v>231</v>
      </c>
      <c r="B10" s="18">
        <f>SUM(B5:B9)</f>
        <v>86</v>
      </c>
      <c r="C10" s="19">
        <f>SUM(C5:C9)</f>
        <v>83</v>
      </c>
      <c r="D10" s="11">
        <f>B10-C10</f>
        <v>3</v>
      </c>
      <c r="E10" s="29"/>
    </row>
  </sheetData>
  <mergeCells count="2">
    <mergeCell ref="A1:H1"/>
    <mergeCell ref="A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tabSelected="1" workbookViewId="0">
      <selection activeCell="A41" sqref="A41"/>
    </sheetView>
  </sheetViews>
  <sheetFormatPr baseColWidth="10" defaultColWidth="8.83203125" defaultRowHeight="15" x14ac:dyDescent="0.2"/>
  <cols>
    <col min="1" max="1" width="80" customWidth="1"/>
  </cols>
  <sheetData>
    <row r="1" spans="1:6" x14ac:dyDescent="0.2">
      <c r="A1" s="24" t="s">
        <v>232</v>
      </c>
      <c r="B1" s="22"/>
      <c r="C1" s="22"/>
      <c r="D1" s="22"/>
      <c r="E1" s="22"/>
      <c r="F1" s="22"/>
    </row>
    <row r="3" spans="1:6" ht="16" customHeight="1" x14ac:dyDescent="0.2">
      <c r="A3" s="20" t="s">
        <v>233</v>
      </c>
    </row>
    <row r="4" spans="1:6" x14ac:dyDescent="0.2">
      <c r="A4" s="27" t="s">
        <v>234</v>
      </c>
      <c r="B4" s="22"/>
      <c r="C4" s="22"/>
      <c r="D4" s="22"/>
      <c r="E4" s="22"/>
      <c r="F4" s="22"/>
    </row>
    <row r="5" spans="1:6" x14ac:dyDescent="0.2">
      <c r="A5" s="22"/>
      <c r="B5" s="22"/>
      <c r="C5" s="22"/>
      <c r="D5" s="22"/>
      <c r="E5" s="22"/>
      <c r="F5" s="22"/>
    </row>
    <row r="6" spans="1:6" x14ac:dyDescent="0.2">
      <c r="A6" s="22"/>
      <c r="B6" s="22"/>
      <c r="C6" s="22"/>
      <c r="D6" s="22"/>
      <c r="E6" s="22"/>
      <c r="F6" s="22"/>
    </row>
    <row r="7" spans="1:6" x14ac:dyDescent="0.2">
      <c r="A7" s="22"/>
      <c r="B7" s="22"/>
      <c r="C7" s="22"/>
      <c r="D7" s="22"/>
      <c r="E7" s="22"/>
      <c r="F7" s="22"/>
    </row>
    <row r="9" spans="1:6" ht="16" customHeight="1" x14ac:dyDescent="0.2">
      <c r="A9" s="20" t="s">
        <v>235</v>
      </c>
    </row>
    <row r="10" spans="1:6" x14ac:dyDescent="0.2">
      <c r="A10" s="27" t="s">
        <v>236</v>
      </c>
      <c r="B10" s="22"/>
      <c r="C10" s="22"/>
      <c r="D10" s="22"/>
      <c r="E10" s="22"/>
      <c r="F10" s="22"/>
    </row>
    <row r="11" spans="1:6" x14ac:dyDescent="0.2">
      <c r="A11" s="22"/>
      <c r="B11" s="22"/>
      <c r="C11" s="22"/>
      <c r="D11" s="22"/>
      <c r="E11" s="22"/>
      <c r="F11" s="22"/>
    </row>
    <row r="12" spans="1:6" x14ac:dyDescent="0.2">
      <c r="A12" s="22"/>
      <c r="B12" s="22"/>
      <c r="C12" s="22"/>
      <c r="D12" s="22"/>
      <c r="E12" s="22"/>
      <c r="F12" s="22"/>
    </row>
    <row r="13" spans="1:6" x14ac:dyDescent="0.2">
      <c r="A13" s="22"/>
      <c r="B13" s="22"/>
      <c r="C13" s="22"/>
      <c r="D13" s="22"/>
      <c r="E13" s="22"/>
      <c r="F13" s="22"/>
    </row>
    <row r="15" spans="1:6" ht="16" customHeight="1" x14ac:dyDescent="0.2">
      <c r="A15" s="20" t="s">
        <v>237</v>
      </c>
    </row>
    <row r="16" spans="1:6" x14ac:dyDescent="0.2">
      <c r="A16" s="27" t="s">
        <v>238</v>
      </c>
      <c r="B16" s="22"/>
      <c r="C16" s="22"/>
      <c r="D16" s="22"/>
      <c r="E16" s="22"/>
      <c r="F16" s="22"/>
    </row>
    <row r="17" spans="1:6" x14ac:dyDescent="0.2">
      <c r="A17" s="22"/>
      <c r="B17" s="22"/>
      <c r="C17" s="22"/>
      <c r="D17" s="22"/>
      <c r="E17" s="22"/>
      <c r="F17" s="22"/>
    </row>
    <row r="18" spans="1:6" x14ac:dyDescent="0.2">
      <c r="A18" s="22"/>
      <c r="B18" s="22"/>
      <c r="C18" s="22"/>
      <c r="D18" s="22"/>
      <c r="E18" s="22"/>
      <c r="F18" s="22"/>
    </row>
    <row r="19" spans="1:6" x14ac:dyDescent="0.2">
      <c r="A19" s="22"/>
      <c r="B19" s="22"/>
      <c r="C19" s="22"/>
      <c r="D19" s="22"/>
      <c r="E19" s="22"/>
      <c r="F19" s="22"/>
    </row>
    <row r="21" spans="1:6" ht="16" customHeight="1" x14ac:dyDescent="0.2">
      <c r="A21" s="20" t="s">
        <v>239</v>
      </c>
    </row>
    <row r="22" spans="1:6" x14ac:dyDescent="0.2">
      <c r="A22" s="27" t="s">
        <v>240</v>
      </c>
      <c r="B22" s="22"/>
      <c r="C22" s="22"/>
      <c r="D22" s="22"/>
      <c r="E22" s="22"/>
      <c r="F22" s="22"/>
    </row>
    <row r="23" spans="1:6" x14ac:dyDescent="0.2">
      <c r="A23" s="22"/>
      <c r="B23" s="22"/>
      <c r="C23" s="22"/>
      <c r="D23" s="22"/>
      <c r="E23" s="22"/>
      <c r="F23" s="22"/>
    </row>
    <row r="24" spans="1:6" x14ac:dyDescent="0.2">
      <c r="A24" s="22"/>
      <c r="B24" s="22"/>
      <c r="C24" s="22"/>
      <c r="D24" s="22"/>
      <c r="E24" s="22"/>
      <c r="F24" s="22"/>
    </row>
    <row r="25" spans="1:6" x14ac:dyDescent="0.2">
      <c r="A25" s="22"/>
      <c r="B25" s="22"/>
      <c r="C25" s="22"/>
      <c r="D25" s="22"/>
      <c r="E25" s="22"/>
      <c r="F25" s="22"/>
    </row>
    <row r="27" spans="1:6" ht="16" customHeight="1" x14ac:dyDescent="0.2">
      <c r="A27" s="20" t="s">
        <v>241</v>
      </c>
    </row>
    <row r="28" spans="1:6" x14ac:dyDescent="0.2">
      <c r="A28" s="27" t="s">
        <v>242</v>
      </c>
      <c r="B28" s="22"/>
      <c r="C28" s="22"/>
      <c r="D28" s="22"/>
      <c r="E28" s="22"/>
      <c r="F28" s="22"/>
    </row>
    <row r="29" spans="1:6" x14ac:dyDescent="0.2">
      <c r="A29" s="22"/>
      <c r="B29" s="22"/>
      <c r="C29" s="22"/>
      <c r="D29" s="22"/>
      <c r="E29" s="22"/>
      <c r="F29" s="22"/>
    </row>
    <row r="30" spans="1:6" x14ac:dyDescent="0.2">
      <c r="A30" s="22"/>
      <c r="B30" s="22"/>
      <c r="C30" s="22"/>
      <c r="D30" s="22"/>
      <c r="E30" s="22"/>
      <c r="F30" s="22"/>
    </row>
    <row r="31" spans="1:6" x14ac:dyDescent="0.2">
      <c r="A31" s="22"/>
      <c r="B31" s="22"/>
      <c r="C31" s="22"/>
      <c r="D31" s="22"/>
      <c r="E31" s="22"/>
      <c r="F31" s="22"/>
    </row>
    <row r="33" spans="1:6" ht="16" customHeight="1" x14ac:dyDescent="0.2">
      <c r="A33" s="20" t="s">
        <v>243</v>
      </c>
    </row>
    <row r="34" spans="1:6" x14ac:dyDescent="0.2">
      <c r="A34" s="27" t="s">
        <v>244</v>
      </c>
      <c r="B34" s="22"/>
      <c r="C34" s="22"/>
      <c r="D34" s="22"/>
      <c r="E34" s="22"/>
      <c r="F34" s="22"/>
    </row>
    <row r="35" spans="1:6" x14ac:dyDescent="0.2">
      <c r="A35" s="22"/>
      <c r="B35" s="22"/>
      <c r="C35" s="22"/>
      <c r="D35" s="22"/>
      <c r="E35" s="22"/>
      <c r="F35" s="22"/>
    </row>
    <row r="36" spans="1:6" x14ac:dyDescent="0.2">
      <c r="A36" s="22"/>
      <c r="B36" s="22"/>
      <c r="C36" s="22"/>
      <c r="D36" s="22"/>
      <c r="E36" s="22"/>
      <c r="F36" s="22"/>
    </row>
    <row r="37" spans="1:6" x14ac:dyDescent="0.2">
      <c r="A37" s="22"/>
      <c r="B37" s="22"/>
      <c r="C37" s="22"/>
      <c r="D37" s="22"/>
      <c r="E37" s="22"/>
      <c r="F37" s="22"/>
    </row>
  </sheetData>
  <mergeCells count="7">
    <mergeCell ref="A34:F37"/>
    <mergeCell ref="A28:F31"/>
    <mergeCell ref="A16:F19"/>
    <mergeCell ref="A10:F13"/>
    <mergeCell ref="A1:F1"/>
    <mergeCell ref="A22:F25"/>
    <mergeCell ref="A4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Synthèse</vt:lpstr>
      <vt:lpstr>1-Difficulté programmation</vt:lpstr>
      <vt:lpstr>2-Méthode construction</vt:lpstr>
      <vt:lpstr>3-Maintenance diagnostic</vt:lpstr>
      <vt:lpstr>4-Capacité explication</vt:lpstr>
      <vt:lpstr>5-Flexibilité</vt:lpstr>
      <vt:lpstr>Conclusion</vt:lpstr>
      <vt:lpstr>Guide utilisation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2026-01-17T23:36:21Z</dcterms:created>
  <dcterms:modified xsi:type="dcterms:W3CDTF">2026-01-28T22:34:03Z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